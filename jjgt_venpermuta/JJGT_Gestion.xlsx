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🔐 ACCESO" sheetId="1" state="visible" r:id="rId3"/>
    <sheet name="🚗 VEHÍCULOS" sheetId="2" state="visible" r:id="rId4"/>
    <sheet name="👥 USUARIOS" sheetId="3" state="visible" r:id="rId5"/>
    <sheet name="🔄 PERMUTAS" sheetId="4" state="visible" r:id="rId6"/>
    <sheet name="📋 PUBLICACIONES" sheetId="5" state="visible" r:id="rId7"/>
    <sheet name="📦 HISTORIAL" sheetId="6" state="visible" r:id="rId8"/>
    <sheet name="🔔 NOTIFICACIONES" sheetId="7" state="visible" r:id="rId9"/>
    <sheet name="📊 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<sst xmlns="http://schemas.openxmlformats.org/spreadsheetml/2006/main" count="780" uniqueCount="429">
  <si>
    <t xml:space="preserve">JJGT — SISTEMA DE GESTIÓN</t>
  </si>
  <si>
    <t xml:space="preserve">Venta y Permuta de Vehículos · Colombia</t>
  </si>
  <si>
    <t xml:space="preserve">🔐  ACCESO RESTRINGIDO</t>
  </si>
  <si>
    <t xml:space="preserve">Este archivo es de uso exclusivo de la cuenta JJGT</t>
  </si>
  <si>
    <t xml:space="preserve">CUENTA AUTORIZADA</t>
  </si>
  <si>
    <t xml:space="preserve">josegarjagt@gmail.com</t>
  </si>
  <si>
    <t xml:space="preserve">Nivel: ADMINISTRADOR · JJGT</t>
  </si>
  <si>
    <t xml:space="preserve">HOJAS DISPONIBLES</t>
  </si>
  <si>
    <t xml:space="preserve">🚗 VEHÍCULOS</t>
  </si>
  <si>
    <t xml:space="preserve">Catálogo completo de vehículos publicados</t>
  </si>
  <si>
    <t xml:space="preserve">👥 USUARIOS</t>
  </si>
  <si>
    <t xml:space="preserve">Registro de vendedores y compradores</t>
  </si>
  <si>
    <t xml:space="preserve">🔄 PERMUTAS</t>
  </si>
  <si>
    <t xml:space="preserve">Propuestas de permuta activas e historial</t>
  </si>
  <si>
    <t xml:space="preserve">📋 PUBLICACIONES</t>
  </si>
  <si>
    <t xml:space="preserve">Avisos publicados con datos del vendedor</t>
  </si>
  <si>
    <t xml:space="preserve">📦 HISTORIAL</t>
  </si>
  <si>
    <t xml:space="preserve">Transacciones y cierres de negocios</t>
  </si>
  <si>
    <t xml:space="preserve">🔔 NOTIFICACIONES</t>
  </si>
  <si>
    <t xml:space="preserve">Alertas y comunicaciones del sistema</t>
  </si>
  <si>
    <t xml:space="preserve">📊 DASHBOARD</t>
  </si>
  <si>
    <t xml:space="preserve">Métricas y estadísticas de la plataforma</t>
  </si>
  <si>
    <t xml:space="preserve">Generado: 26/02/2026  |  Versión 2.0</t>
  </si>
  <si>
    <t xml:space="preserve">🚗 JJGT — VEHÍCULOS</t>
  </si>
  <si>
    <t xml:space="preserve">Catálogo completo de vehículos en la plataforma</t>
  </si>
  <si>
    <t xml:space="preserve">ID</t>
  </si>
  <si>
    <t xml:space="preserve">Nombre</t>
  </si>
  <si>
    <t xml:space="preserve">Modelo</t>
  </si>
  <si>
    <t xml:space="preserve">Año</t>
  </si>
  <si>
    <t xml:space="preserve">Precio (COP)</t>
  </si>
  <si>
    <t xml:space="preserve">Km</t>
  </si>
  <si>
    <t xml:space="preserve">Combustible</t>
  </si>
  <si>
    <t xml:space="preserve">Transmisión</t>
  </si>
  <si>
    <t xml:space="preserve">Ciudad</t>
  </si>
  <si>
    <t xml:space="preserve">Color</t>
  </si>
  <si>
    <t xml:space="preserve">Tipo Aviso</t>
  </si>
  <si>
    <t xml:space="preserve">Calificación</t>
  </si>
  <si>
    <t xml:space="preserve">Reseñas</t>
  </si>
  <si>
    <t xml:space="preserve">Estado</t>
  </si>
  <si>
    <t xml:space="preserve">Toyota Corolla</t>
  </si>
  <si>
    <t xml:space="preserve">Corolla XEI</t>
  </si>
  <si>
    <t xml:space="preserve">Gasolina</t>
  </si>
  <si>
    <t xml:space="preserve">Automático</t>
  </si>
  <si>
    <t xml:space="preserve">Bogotá</t>
  </si>
  <si>
    <t xml:space="preserve">Blanco</t>
  </si>
  <si>
    <t xml:space="preserve">Venta</t>
  </si>
  <si>
    <t xml:space="preserve">Activo</t>
  </si>
  <si>
    <t xml:space="preserve">Chevrolet Tracker</t>
  </si>
  <si>
    <t xml:space="preserve">Premier</t>
  </si>
  <si>
    <t xml:space="preserve">Medellín</t>
  </si>
  <si>
    <t xml:space="preserve">Azul</t>
  </si>
  <si>
    <t xml:space="preserve">Venta/Permuta</t>
  </si>
  <si>
    <t xml:space="preserve">Renault Sandero</t>
  </si>
  <si>
    <t xml:space="preserve">Stepway</t>
  </si>
  <si>
    <t xml:space="preserve">Manual</t>
  </si>
  <si>
    <t xml:space="preserve">Cali</t>
  </si>
  <si>
    <t xml:space="preserve">Gris</t>
  </si>
  <si>
    <t xml:space="preserve">Permuta</t>
  </si>
  <si>
    <t xml:space="preserve">Mazda CX-5</t>
  </si>
  <si>
    <t xml:space="preserve">Grand Touring</t>
  </si>
  <si>
    <t xml:space="preserve">Rojo</t>
  </si>
  <si>
    <t xml:space="preserve">Ford Ranger</t>
  </si>
  <si>
    <t xml:space="preserve">XLT 4x4</t>
  </si>
  <si>
    <t xml:space="preserve">Diesel</t>
  </si>
  <si>
    <t xml:space="preserve">Bucaramanga</t>
  </si>
  <si>
    <t xml:space="preserve">Negro</t>
  </si>
  <si>
    <t xml:space="preserve">Hyundai Tucson</t>
  </si>
  <si>
    <t xml:space="preserve">Premium</t>
  </si>
  <si>
    <t xml:space="preserve">Barranquilla</t>
  </si>
  <si>
    <t xml:space="preserve">Gris Perlado</t>
  </si>
  <si>
    <t xml:space="preserve">Volkswagen Golf</t>
  </si>
  <si>
    <t xml:space="preserve">Highline TSI</t>
  </si>
  <si>
    <t xml:space="preserve">Kia Sportage</t>
  </si>
  <si>
    <t xml:space="preserve">EX Premium</t>
  </si>
  <si>
    <t xml:space="preserve">Pereira</t>
  </si>
  <si>
    <t xml:space="preserve">Naranja</t>
  </si>
  <si>
    <t xml:space="preserve">Toyota Hilux</t>
  </si>
  <si>
    <t xml:space="preserve">SRV 4x4</t>
  </si>
  <si>
    <t xml:space="preserve">Renault Duster</t>
  </si>
  <si>
    <t xml:space="preserve">Oroch</t>
  </si>
  <si>
    <t xml:space="preserve">Verde</t>
  </si>
  <si>
    <t xml:space="preserve">Chevrolet Onix</t>
  </si>
  <si>
    <t xml:space="preserve">LTZ Turbo</t>
  </si>
  <si>
    <t xml:space="preserve">BMW Serie 3</t>
  </si>
  <si>
    <t xml:space="preserve">320i Sport</t>
  </si>
  <si>
    <t xml:space="preserve">Azul Zafiro</t>
  </si>
  <si>
    <t xml:space="preserve">Jeep Wrangler</t>
  </si>
  <si>
    <t xml:space="preserve">Rubicon 4xe</t>
  </si>
  <si>
    <t xml:space="preserve">Híbrido</t>
  </si>
  <si>
    <t xml:space="preserve">Mazda 2</t>
  </si>
  <si>
    <t xml:space="preserve">Ford Explorer</t>
  </si>
  <si>
    <t xml:space="preserve">Gris Magnético</t>
  </si>
  <si>
    <t xml:space="preserve">TOTALES / PROMEDIOS</t>
  </si>
  <si>
    <t xml:space="preserve">🚗 JJGT — USUARIOS</t>
  </si>
  <si>
    <t xml:space="preserve">Registro completo de vendedores y compradores registrados</t>
  </si>
  <si>
    <t xml:space="preserve">Nombre Completo</t>
  </si>
  <si>
    <t xml:space="preserve">Correo</t>
  </si>
  <si>
    <t xml:space="preserve">Celular</t>
  </si>
  <si>
    <t xml:space="preserve">Documento</t>
  </si>
  <si>
    <t xml:space="preserve">Rol</t>
  </si>
  <si>
    <t xml:space="preserve">Publicaciones</t>
  </si>
  <si>
    <t xml:space="preserve">Ventas</t>
  </si>
  <si>
    <t xml:space="preserve">Puntos</t>
  </si>
  <si>
    <t xml:space="preserve">Nivel</t>
  </si>
  <si>
    <t xml:space="preserve">Fecha Registro</t>
  </si>
  <si>
    <t xml:space="preserve">Juan Carlos Gómez</t>
  </si>
  <si>
    <t xml:space="preserve">juancarlos@gmail.com</t>
  </si>
  <si>
    <t xml:space="preserve">300 512 3456</t>
  </si>
  <si>
    <t xml:space="preserve">10.234.567</t>
  </si>
  <si>
    <t xml:space="preserve">Vendedor/Comprador</t>
  </si>
  <si>
    <t xml:space="preserve">Silver</t>
  </si>
  <si>
    <t xml:space="preserve">15/01/2024</t>
  </si>
  <si>
    <t xml:space="preserve">Mario Rodríguez</t>
  </si>
  <si>
    <t xml:space="preserve">mario.rod@gmail.com</t>
  </si>
  <si>
    <t xml:space="preserve">315 678 9012</t>
  </si>
  <si>
    <t xml:space="preserve">20.345.678</t>
  </si>
  <si>
    <t xml:space="preserve">Vendedor</t>
  </si>
  <si>
    <t xml:space="preserve">03/11/2023</t>
  </si>
  <si>
    <t xml:space="preserve">Ana Lucía Martínez</t>
  </si>
  <si>
    <t xml:space="preserve">analucia@hotmail.com</t>
  </si>
  <si>
    <t xml:space="preserve">310 234 5678</t>
  </si>
  <si>
    <t xml:space="preserve">30.456.789</t>
  </si>
  <si>
    <t xml:space="preserve">Bronze</t>
  </si>
  <si>
    <t xml:space="preserve">22/02/2024</t>
  </si>
  <si>
    <t xml:space="preserve">Carlos Betancur</t>
  </si>
  <si>
    <t xml:space="preserve">carlos.b@empresa.co</t>
  </si>
  <si>
    <t xml:space="preserve">320 890 1234</t>
  </si>
  <si>
    <t xml:space="preserve">40.567.890</t>
  </si>
  <si>
    <t xml:space="preserve">Comprador</t>
  </si>
  <si>
    <t xml:space="preserve">10/03/2024</t>
  </si>
  <si>
    <t xml:space="preserve">Pedro Lozano</t>
  </si>
  <si>
    <t xml:space="preserve">pedro.loz@gmail.com</t>
  </si>
  <si>
    <t xml:space="preserve">318 345 6789</t>
  </si>
  <si>
    <t xml:space="preserve">50.678.901</t>
  </si>
  <si>
    <t xml:space="preserve">05/12/2023</t>
  </si>
  <si>
    <t xml:space="preserve">Valentina Torres</t>
  </si>
  <si>
    <t xml:space="preserve">vale.torres@gmail.com</t>
  </si>
  <si>
    <t xml:space="preserve">312 456 7890</t>
  </si>
  <si>
    <t xml:space="preserve">60.789.012</t>
  </si>
  <si>
    <t xml:space="preserve">18/09/2023</t>
  </si>
  <si>
    <t xml:space="preserve">Santiago Herrera</t>
  </si>
  <si>
    <t xml:space="preserve">santi.h@outlook.com</t>
  </si>
  <si>
    <t xml:space="preserve">316 567 8901</t>
  </si>
  <si>
    <t xml:space="preserve">70.890.123</t>
  </si>
  <si>
    <t xml:space="preserve">01/04/2024</t>
  </si>
  <si>
    <t xml:space="preserve">Luisa Fernanda Díaz</t>
  </si>
  <si>
    <t xml:space="preserve">luisaf@gmail.com</t>
  </si>
  <si>
    <t xml:space="preserve">319 678 9012</t>
  </si>
  <si>
    <t xml:space="preserve">80.901.234</t>
  </si>
  <si>
    <t xml:space="preserve">12/10/2023</t>
  </si>
  <si>
    <t xml:space="preserve">Andrés Ospina</t>
  </si>
  <si>
    <t xml:space="preserve">andres.os@gmail.com</t>
  </si>
  <si>
    <t xml:space="preserve">317 789 0123</t>
  </si>
  <si>
    <t xml:space="preserve">90.012.345</t>
  </si>
  <si>
    <t xml:space="preserve">Gold</t>
  </si>
  <si>
    <t xml:space="preserve">07/07/2023</t>
  </si>
  <si>
    <t xml:space="preserve">JJGT Admin</t>
  </si>
  <si>
    <t xml:space="preserve">300 000 0001</t>
  </si>
  <si>
    <t xml:space="preserve">900.123.456</t>
  </si>
  <si>
    <t xml:space="preserve">Administrador</t>
  </si>
  <si>
    <t xml:space="preserve">Admin</t>
  </si>
  <si>
    <t xml:space="preserve">01/01/2024</t>
  </si>
  <si>
    <t xml:space="preserve">TOTALES</t>
  </si>
  <si>
    <t xml:space="preserve">🚗 JJGT — PERMUTAS</t>
  </si>
  <si>
    <t xml:space="preserve">Propuestas de permuta activas, cerradas y canceladas</t>
  </si>
  <si>
    <t xml:space="preserve">Veh. Ofertado</t>
  </si>
  <si>
    <t xml:space="preserve">Vendedor Oferta</t>
  </si>
  <si>
    <t xml:space="preserve">Veh. Solicitado</t>
  </si>
  <si>
    <t xml:space="preserve">Propietario Destino</t>
  </si>
  <si>
    <t xml:space="preserve">Valor Estimado</t>
  </si>
  <si>
    <t xml:space="preserve">Diferencia</t>
  </si>
  <si>
    <t xml:space="preserve">Fecha</t>
  </si>
  <si>
    <t xml:space="preserve">Mensaje</t>
  </si>
  <si>
    <t xml:space="preserve">Resultado</t>
  </si>
  <si>
    <t xml:space="preserve">P-001</t>
  </si>
  <si>
    <t xml:space="preserve">Mazda 3 2020</t>
  </si>
  <si>
    <t xml:space="preserve">Juan Carlos G.</t>
  </si>
  <si>
    <t xml:space="preserve">Toyota Corolla 2022</t>
  </si>
  <si>
    <t xml:space="preserve">Mario R.</t>
  </si>
  <si>
    <t xml:space="preserve">15/02/2024</t>
  </si>
  <si>
    <t xml:space="preserve">Activa</t>
  </si>
  <si>
    <t xml:space="preserve">Interesado en tu Corolla, ofrezco mi Mazda 3</t>
  </si>
  <si>
    <t xml:space="preserve">Pendiente</t>
  </si>
  <si>
    <t xml:space="preserve">P-002</t>
  </si>
  <si>
    <t xml:space="preserve">VW Golf 2020</t>
  </si>
  <si>
    <t xml:space="preserve">Pedro L.</t>
  </si>
  <si>
    <t xml:space="preserve">Renault Sandero 2021</t>
  </si>
  <si>
    <t xml:space="preserve">Ana M.</t>
  </si>
  <si>
    <t xml:space="preserve">12/02/2024</t>
  </si>
  <si>
    <t xml:space="preserve">Cambio Golf por Sandero, muy buen estado</t>
  </si>
  <si>
    <t xml:space="preserve">P-003</t>
  </si>
  <si>
    <t xml:space="preserve">Chevrolet Onix 2023</t>
  </si>
  <si>
    <t xml:space="preserve">Valentina T.</t>
  </si>
  <si>
    <t xml:space="preserve">Kia Sportage 2022</t>
  </si>
  <si>
    <t xml:space="preserve">Carlos B.</t>
  </si>
  <si>
    <t xml:space="preserve">10/02/2024</t>
  </si>
  <si>
    <t xml:space="preserve">Contraoferta</t>
  </si>
  <si>
    <t xml:space="preserve">¿Aceptas el Onix + diferencia?</t>
  </si>
  <si>
    <t xml:space="preserve">Negociando</t>
  </si>
  <si>
    <t xml:space="preserve">P-004</t>
  </si>
  <si>
    <t xml:space="preserve">Renault Duster 2022</t>
  </si>
  <si>
    <t xml:space="preserve">Andrés O.</t>
  </si>
  <si>
    <t xml:space="preserve">Ford Ranger 2021</t>
  </si>
  <si>
    <t xml:space="preserve">08/02/2024</t>
  </si>
  <si>
    <t xml:space="preserve">Duster por Ranger, el mío tiene extras</t>
  </si>
  <si>
    <t xml:space="preserve">P-005</t>
  </si>
  <si>
    <t xml:space="preserve">Mazda 2 2022</t>
  </si>
  <si>
    <t xml:space="preserve">Chevrolet Tracker 2023</t>
  </si>
  <si>
    <t xml:space="preserve">05/02/2024</t>
  </si>
  <si>
    <t xml:space="preserve">Cerrada</t>
  </si>
  <si>
    <t xml:space="preserve">Excelente proceso, muy satisfecho</t>
  </si>
  <si>
    <t xml:space="preserve">Completada</t>
  </si>
  <si>
    <t xml:space="preserve">P-006</t>
  </si>
  <si>
    <t xml:space="preserve">Ford Explorer 2021</t>
  </si>
  <si>
    <t xml:space="preserve">Jeep Wrangler 2022</t>
  </si>
  <si>
    <t xml:space="preserve">01/02/2024</t>
  </si>
  <si>
    <t xml:space="preserve">Cancelada</t>
  </si>
  <si>
    <t xml:space="preserve">Desistí de la permuta</t>
  </si>
  <si>
    <t xml:space="preserve">P-007</t>
  </si>
  <si>
    <t xml:space="preserve">Toyota Hilux 2021</t>
  </si>
  <si>
    <t xml:space="preserve">BMW Serie 3 2020</t>
  </si>
  <si>
    <t xml:space="preserve">Luisa D.</t>
  </si>
  <si>
    <t xml:space="preserve">25/01/2024</t>
  </si>
  <si>
    <t xml:space="preserve">Cerramos, muy buena experiencia</t>
  </si>
  <si>
    <t xml:space="preserve">P-008</t>
  </si>
  <si>
    <t xml:space="preserve">Hyundai Tucson 2023</t>
  </si>
  <si>
    <t xml:space="preserve">Mazda CX-5 2022</t>
  </si>
  <si>
    <t xml:space="preserve">20/01/2024</t>
  </si>
  <si>
    <t xml:space="preserve">Casi el mismo precio, ¿hacemos el cambio?</t>
  </si>
  <si>
    <t xml:space="preserve">🚗 JJGT — PUBLICACIONES</t>
  </si>
  <si>
    <t xml:space="preserve">Avisos publicados — incluye datos completos del vendedor</t>
  </si>
  <si>
    <t xml:space="preserve">ID Pub</t>
  </si>
  <si>
    <t xml:space="preserve">ID Veh</t>
  </si>
  <si>
    <t xml:space="preserve">Vehículo</t>
  </si>
  <si>
    <t xml:space="preserve">Precio</t>
  </si>
  <si>
    <t xml:space="preserve">Estado Pub</t>
  </si>
  <si>
    <t xml:space="preserve">Correo Vendedor</t>
  </si>
  <si>
    <t xml:space="preserve">Celular Vendedor</t>
  </si>
  <si>
    <t xml:space="preserve">Doc. Vendedor</t>
  </si>
  <si>
    <t xml:space="preserve">Ciudad Vendedor</t>
  </si>
  <si>
    <t xml:space="preserve">Verificado</t>
  </si>
  <si>
    <t xml:space="preserve">Fecha Pub</t>
  </si>
  <si>
    <t xml:space="preserve">Visitas</t>
  </si>
  <si>
    <t xml:space="preserve">Favoritos</t>
  </si>
  <si>
    <t xml:space="preserve">PUB-001</t>
  </si>
  <si>
    <t xml:space="preserve">Toyota Corolla XEI</t>
  </si>
  <si>
    <t xml:space="preserve">Sí</t>
  </si>
  <si>
    <t xml:space="preserve">PUB-002</t>
  </si>
  <si>
    <t xml:space="preserve">Chevrolet Tracker Premier</t>
  </si>
  <si>
    <t xml:space="preserve">PUB-003</t>
  </si>
  <si>
    <t xml:space="preserve">Renault Sandero Stepway</t>
  </si>
  <si>
    <t xml:space="preserve">No</t>
  </si>
  <si>
    <t xml:space="preserve">PUB-004</t>
  </si>
  <si>
    <t xml:space="preserve">Mazda CX-5 Grand Touring</t>
  </si>
  <si>
    <t xml:space="preserve">PUB-005</t>
  </si>
  <si>
    <t xml:space="preserve">Ford Ranger XLT 4x4</t>
  </si>
  <si>
    <t xml:space="preserve">28/01/2024</t>
  </si>
  <si>
    <t xml:space="preserve">PUB-006</t>
  </si>
  <si>
    <t xml:space="preserve">Hyundai Tucson Premium</t>
  </si>
  <si>
    <t xml:space="preserve">PUB-007</t>
  </si>
  <si>
    <t xml:space="preserve">Volkswagen Golf Highline</t>
  </si>
  <si>
    <t xml:space="preserve">PUB-008</t>
  </si>
  <si>
    <t xml:space="preserve">Kia Sportage EX Premium</t>
  </si>
  <si>
    <t xml:space="preserve">PUB-009</t>
  </si>
  <si>
    <t xml:space="preserve">Toyota Hilux SRV 4x4</t>
  </si>
  <si>
    <t xml:space="preserve">10/01/2024</t>
  </si>
  <si>
    <t xml:space="preserve">PUB-010</t>
  </si>
  <si>
    <t xml:space="preserve">Renault Duster Oroch</t>
  </si>
  <si>
    <t xml:space="preserve">05/01/2024</t>
  </si>
  <si>
    <t xml:space="preserve">PUB-011</t>
  </si>
  <si>
    <t xml:space="preserve">Chevrolet Onix LTZ</t>
  </si>
  <si>
    <t xml:space="preserve">PUB-012</t>
  </si>
  <si>
    <t xml:space="preserve">BMW 320i Sport</t>
  </si>
  <si>
    <t xml:space="preserve">28/12/2023</t>
  </si>
  <si>
    <t xml:space="preserve">PUB-013</t>
  </si>
  <si>
    <t xml:space="preserve">Jeep Wrangler Rubicon</t>
  </si>
  <si>
    <t xml:space="preserve">20/12/2023</t>
  </si>
  <si>
    <t xml:space="preserve">PUB-014</t>
  </si>
  <si>
    <t xml:space="preserve">Mazda 2 Grand Touring</t>
  </si>
  <si>
    <t xml:space="preserve">15/12/2023</t>
  </si>
  <si>
    <t xml:space="preserve">PUB-015</t>
  </si>
  <si>
    <t xml:space="preserve">Ford Explorer XLT 4x4</t>
  </si>
  <si>
    <t xml:space="preserve">10/12/2023</t>
  </si>
  <si>
    <t xml:space="preserve">🚗 JJGT — HISTORIAL</t>
  </si>
  <si>
    <t xml:space="preserve">Registro de transacciones, ventas y permutas completadas</t>
  </si>
  <si>
    <t xml:space="preserve">Tipo</t>
  </si>
  <si>
    <t xml:space="preserve">Comprador / Permutante</t>
  </si>
  <si>
    <t xml:space="preserve">Precio Final</t>
  </si>
  <si>
    <t xml:space="preserve">Puntos Generados</t>
  </si>
  <si>
    <t xml:space="preserve">Duración (días)</t>
  </si>
  <si>
    <t xml:space="preserve">Notas</t>
  </si>
  <si>
    <t xml:space="preserve">#JG-2024-001</t>
  </si>
  <si>
    <t xml:space="preserve">Publicación</t>
  </si>
  <si>
    <t xml:space="preserve">—</t>
  </si>
  <si>
    <t xml:space="preserve">Aviso activo con 287 visitas</t>
  </si>
  <si>
    <t xml:space="preserve">#JG-2024-002</t>
  </si>
  <si>
    <t xml:space="preserve">Contacto</t>
  </si>
  <si>
    <t xml:space="preserve">Esperando respuesta del comprador</t>
  </si>
  <si>
    <t xml:space="preserve">#JG-2023-008</t>
  </si>
  <si>
    <t xml:space="preserve">28/11/2023</t>
  </si>
  <si>
    <t xml:space="preserve">Completado</t>
  </si>
  <si>
    <t xml:space="preserve">Venta exitosa, buen comprador</t>
  </si>
  <si>
    <t xml:space="preserve">#JG-2023-005</t>
  </si>
  <si>
    <t xml:space="preserve">Hyundai Tucson 2021</t>
  </si>
  <si>
    <t xml:space="preserve">03/10/2023</t>
  </si>
  <si>
    <t xml:space="preserve">Permuta con diferencia de $5M</t>
  </si>
  <si>
    <t xml:space="preserve">#JG-2023-003</t>
  </si>
  <si>
    <t xml:space="preserve">Renault Sandero 2019</t>
  </si>
  <si>
    <t xml:space="preserve">Santiago H.</t>
  </si>
  <si>
    <t xml:space="preserve">12/07/2023</t>
  </si>
  <si>
    <t xml:space="preserve">Proceso rápido y sin inconvenientes</t>
  </si>
  <si>
    <t xml:space="preserve">#JG-2023-002</t>
  </si>
  <si>
    <t xml:space="preserve">Kia Picanto 2020</t>
  </si>
  <si>
    <t xml:space="preserve">05/06/2023</t>
  </si>
  <si>
    <t xml:space="preserve">Cancelado</t>
  </si>
  <si>
    <t xml:space="preserve">Cancelado por vendedor</t>
  </si>
  <si>
    <t xml:space="preserve">#JG-2022-015</t>
  </si>
  <si>
    <t xml:space="preserve">Ford Escape 2019</t>
  </si>
  <si>
    <t xml:space="preserve">20/12/2022</t>
  </si>
  <si>
    <t xml:space="preserve">Excelente negociación</t>
  </si>
  <si>
    <t xml:space="preserve">#JG-2022-009</t>
  </si>
  <si>
    <t xml:space="preserve">Chevrolet Cruze 2020</t>
  </si>
  <si>
    <t xml:space="preserve">09/09/2022</t>
  </si>
  <si>
    <t xml:space="preserve">Permuta directa sin diferencia</t>
  </si>
  <si>
    <t xml:space="preserve">🚗 JJGT — NOTIFICACIONES</t>
  </si>
  <si>
    <t xml:space="preserve">Centro de alertas y comunicaciones del sistema</t>
  </si>
  <si>
    <t xml:space="preserve">Título</t>
  </si>
  <si>
    <t xml:space="preserve">Descripción</t>
  </si>
  <si>
    <t xml:space="preserve">Usuario Destino</t>
  </si>
  <si>
    <t xml:space="preserve">Hora</t>
  </si>
  <si>
    <t xml:space="preserve">Leída</t>
  </si>
  <si>
    <t xml:space="preserve">Acción</t>
  </si>
  <si>
    <t xml:space="preserve">N-001</t>
  </si>
  <si>
    <t xml:space="preserve">Nuevo mensaje</t>
  </si>
  <si>
    <t xml:space="preserve">Mario Rodríguez te preguntó por el Corolla 2022</t>
  </si>
  <si>
    <t xml:space="preserve">26/02/2024</t>
  </si>
  <si>
    <t xml:space="preserve">09:30</t>
  </si>
  <si>
    <t xml:space="preserve">Ver chat</t>
  </si>
  <si>
    <t xml:space="preserve">N-002</t>
  </si>
  <si>
    <t xml:space="preserve">Visita</t>
  </si>
  <si>
    <t xml:space="preserve">48 visitas a tu aviso</t>
  </si>
  <si>
    <t xml:space="preserve">Toyota Corolla 2022 · Bogotá</t>
  </si>
  <si>
    <t xml:space="preserve">07:15</t>
  </si>
  <si>
    <t xml:space="preserve">Ver aviso</t>
  </si>
  <si>
    <t xml:space="preserve">N-003</t>
  </si>
  <si>
    <t xml:space="preserve">Propuesta de permuta</t>
  </si>
  <si>
    <t xml:space="preserve">Te ofrecen un Mazda 6 2021 por tu Corolla</t>
  </si>
  <si>
    <t xml:space="preserve">25/02/2024</t>
  </si>
  <si>
    <t xml:space="preserve">18:45</t>
  </si>
  <si>
    <t xml:space="preserve">Ver propuesta</t>
  </si>
  <si>
    <t xml:space="preserve">N-004</t>
  </si>
  <si>
    <t xml:space="preserve">Reseña</t>
  </si>
  <si>
    <t xml:space="preserve">Nueva reseña recibida</t>
  </si>
  <si>
    <t xml:space="preserve">Carlos dejó ⭐⭐⭐⭐⭐ en tu perfil</t>
  </si>
  <si>
    <t xml:space="preserve">15:20</t>
  </si>
  <si>
    <t xml:space="preserve">Ver perfil</t>
  </si>
  <si>
    <t xml:space="preserve">N-005</t>
  </si>
  <si>
    <t xml:space="preserve">Sistema</t>
  </si>
  <si>
    <t xml:space="preserve">Publicación verificada</t>
  </si>
  <si>
    <t xml:space="preserve">Chevrolet Tracker aprobada con éxito</t>
  </si>
  <si>
    <t xml:space="preserve">11:00</t>
  </si>
  <si>
    <t xml:space="preserve">N-006</t>
  </si>
  <si>
    <t xml:space="preserve">Alerta</t>
  </si>
  <si>
    <t xml:space="preserve">Aviso por vencer</t>
  </si>
  <si>
    <t xml:space="preserve">Renueva la publicación del Sandero 2021</t>
  </si>
  <si>
    <t xml:space="preserve">24/02/2024</t>
  </si>
  <si>
    <t xml:space="preserve">09:00</t>
  </si>
  <si>
    <t xml:space="preserve">Renovar</t>
  </si>
  <si>
    <t xml:space="preserve">N-007</t>
  </si>
  <si>
    <t xml:space="preserve">Puntos ganados</t>
  </si>
  <si>
    <t xml:space="preserve">Ganaste 50 puntos por completar tu perfil</t>
  </si>
  <si>
    <t xml:space="preserve">23/02/2024</t>
  </si>
  <si>
    <t xml:space="preserve">14:15</t>
  </si>
  <si>
    <t xml:space="preserve">Ver puntos</t>
  </si>
  <si>
    <t xml:space="preserve">N-008</t>
  </si>
  <si>
    <t xml:space="preserve">Favorito</t>
  </si>
  <si>
    <t xml:space="preserve">23 personas guardaron tu Corolla</t>
  </si>
  <si>
    <t xml:space="preserve">Actualiza el precio para mayor visibilidad</t>
  </si>
  <si>
    <t xml:space="preserve">10:00</t>
  </si>
  <si>
    <t xml:space="preserve">N-009</t>
  </si>
  <si>
    <t xml:space="preserve">Consulta sobre permuta</t>
  </si>
  <si>
    <t xml:space="preserve">¿El vehículo acepta financiamiento?</t>
  </si>
  <si>
    <t xml:space="preserve">21/02/2024</t>
  </si>
  <si>
    <t xml:space="preserve">16:30</t>
  </si>
  <si>
    <t xml:space="preserve">N-010</t>
  </si>
  <si>
    <t xml:space="preserve">Bienvenido a JJGT</t>
  </si>
  <si>
    <t xml:space="preserve">Tu cuenta ha sido creada exitosamente</t>
  </si>
  <si>
    <t xml:space="preserve">08:00</t>
  </si>
  <si>
    <t xml:space="preserve">Ir al inicio</t>
  </si>
  <si>
    <t xml:space="preserve">N-011</t>
  </si>
  <si>
    <t xml:space="preserve">Verificación pendiente</t>
  </si>
  <si>
    <t xml:space="preserve">Sube tu documento para verificar tu cuenta</t>
  </si>
  <si>
    <t xml:space="preserve">20/02/2024</t>
  </si>
  <si>
    <t xml:space="preserve">12:00</t>
  </si>
  <si>
    <t xml:space="preserve">Verificar</t>
  </si>
  <si>
    <t xml:space="preserve">N-012</t>
  </si>
  <si>
    <t xml:space="preserve">Contraoferta recibida</t>
  </si>
  <si>
    <t xml:space="preserve">Valentina T. hizo una contraoferta por tu Sportage</t>
  </si>
  <si>
    <t xml:space="preserve">19/02/2024</t>
  </si>
  <si>
    <t xml:space="preserve">17:45</t>
  </si>
  <si>
    <t xml:space="preserve">Ver oferta</t>
  </si>
  <si>
    <t xml:space="preserve">📊 JJGT — DASHBOARD GENERAL · ADMINISTRADOR</t>
  </si>
  <si>
    <t xml:space="preserve">Acceso: josegarjagt@gmail.com  |  Actualizado: 26/02/2026</t>
  </si>
  <si>
    <t xml:space="preserve">🚗</t>
  </si>
  <si>
    <t xml:space="preserve">👥</t>
  </si>
  <si>
    <t xml:space="preserve">🔄</t>
  </si>
  <si>
    <t xml:space="preserve">📋</t>
  </si>
  <si>
    <t xml:space="preserve">💰</t>
  </si>
  <si>
    <t xml:space="preserve">⭐</t>
  </si>
  <si>
    <t xml:space="preserve">Total Vehículos</t>
  </si>
  <si>
    <t xml:space="preserve">Usuarios Registrados</t>
  </si>
  <si>
    <t xml:space="preserve">Permutas Activas</t>
  </si>
  <si>
    <t xml:space="preserve">Publicaciones Activas</t>
  </si>
  <si>
    <t xml:space="preserve">Valor Total Catálogo</t>
  </si>
  <si>
    <t xml:space="preserve">Satisfacción Promedio</t>
  </si>
  <si>
    <t xml:space="preserve">RESUMEN POR CIUDAD</t>
  </si>
  <si>
    <t xml:space="preserve">DISTRIBUCIÓN POR TIPO DE AVISO</t>
  </si>
  <si>
    <t xml:space="preserve">Vehículos</t>
  </si>
  <si>
    <t xml:space="preserve">Usuarios</t>
  </si>
  <si>
    <t xml:space="preserve">Permutas</t>
  </si>
  <si>
    <t xml:space="preserve">Valor Promedio</t>
  </si>
  <si>
    <t xml:space="preserve">Cantidad</t>
  </si>
  <si>
    <t xml:space="preserve">% del Total</t>
  </si>
  <si>
    <t xml:space="preserve">Solo Venta</t>
  </si>
  <si>
    <t xml:space="preserve">53.3%</t>
  </si>
  <si>
    <t xml:space="preserve">Mayoritario</t>
  </si>
  <si>
    <t xml:space="preserve">26.7%</t>
  </si>
  <si>
    <t xml:space="preserve">Creciendo</t>
  </si>
  <si>
    <t xml:space="preserve">20.0%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</si>
</sst>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#,##0"/>
    <numFmt numFmtId="167" formatCode="General"/>
    <numFmt numFmtId="168" formatCode="\$#,##0.00"/>
    <numFmt numFmtId="169" formatCode="0.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2"/>
      <color rgb="FFF5A623"/>
      <name val="Arial"/>
      <family val="0"/>
      <charset val="1"/>
    </font>
    <font>
      <b val="true"/>
      <sz val="14"/>
      <color rgb="FFC41E3A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1"/>
      <color rgb="FFF5A62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C9A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5A623"/>
      <name val="Arial"/>
      <family val="0"/>
      <charset val="1"/>
    </font>
    <font>
      <sz val="10"/>
      <color rgb="FFCCCCCC"/>
      <name val="Arial"/>
      <family val="0"/>
      <charset val="1"/>
    </font>
    <font>
      <i val="true"/>
      <sz val="9"/>
      <color rgb="FF555577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6B6B8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6B6B8A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0"/>
      <color rgb="FFC41E3A"/>
      <name val="Arial"/>
      <family val="0"/>
      <charset val="1"/>
    </font>
    <font>
      <b val="true"/>
      <sz val="10"/>
      <color rgb="FF2979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sz val="10"/>
      <color rgb="FF6B6B8A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8"/>
      <name val="Arial"/>
      <family val="0"/>
      <charset val="1"/>
    </font>
    <font>
      <b val="true"/>
      <sz val="9"/>
      <color rgb="FF6B6B8A"/>
      <name val="Arial"/>
      <family val="0"/>
      <charset val="1"/>
    </font>
    <font>
      <b val="true"/>
      <sz val="22"/>
      <color rgb="FFC41E3A"/>
      <name val="Arial"/>
      <family val="0"/>
      <charset val="1"/>
    </font>
    <font>
      <b val="true"/>
      <sz val="22"/>
      <color rgb="FF1A1A2E"/>
      <name val="Arial"/>
      <family val="0"/>
      <charset val="1"/>
    </font>
    <font>
      <b val="true"/>
      <sz val="22"/>
      <color rgb="FF00C9A7"/>
      <name val="Arial"/>
      <family val="0"/>
      <charset val="1"/>
    </font>
    <font>
      <b val="true"/>
      <sz val="22"/>
      <color rgb="FFF5A623"/>
      <name val="Arial"/>
      <family val="0"/>
      <charset val="1"/>
    </font>
    <font>
      <b val="true"/>
      <sz val="22"/>
      <color rgb="FF2979FF"/>
      <name val="Arial"/>
      <family val="0"/>
      <charset val="1"/>
    </font>
    <font>
      <b val="true"/>
      <sz val="22"/>
      <color rgb="FF9C27B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1A2E"/>
        <bgColor rgb="FF252540"/>
      </patternFill>
    </fill>
    <fill>
      <patternFill patternType="solid">
        <fgColor rgb="FF252540"/>
        <bgColor rgb="FF1A1A2E"/>
      </patternFill>
    </fill>
    <fill>
      <patternFill patternType="solid">
        <fgColor rgb="FFC41E3A"/>
        <bgColor rgb="FF993300"/>
      </patternFill>
    </fill>
    <fill>
      <patternFill patternType="solid">
        <fgColor rgb="FFF4F5F7"/>
        <bgColor rgb="FFFEF6E4"/>
      </patternFill>
    </fill>
    <fill>
      <patternFill patternType="solid">
        <fgColor rgb="FFFFFFFF"/>
        <bgColor rgb="FFF4F5F7"/>
      </patternFill>
    </fill>
    <fill>
      <patternFill patternType="solid">
        <fgColor rgb="FFE0FAF6"/>
        <bgColor rgb="FFE3EDFF"/>
      </patternFill>
    </fill>
    <fill>
      <patternFill patternType="solid">
        <fgColor rgb="FFFDEAED"/>
        <bgColor rgb="FFFFF3E0"/>
      </patternFill>
    </fill>
    <fill>
      <patternFill patternType="solid">
        <fgColor rgb="FFFFF3E0"/>
        <bgColor rgb="FFFEF6E4"/>
      </patternFill>
    </fill>
    <fill>
      <patternFill patternType="solid">
        <fgColor rgb="FFFEF6E4"/>
        <bgColor rgb="FFFFF3E0"/>
      </patternFill>
    </fill>
    <fill>
      <patternFill patternType="solid">
        <fgColor rgb="FF00C9A7"/>
        <bgColor rgb="FF33CCCC"/>
      </patternFill>
    </fill>
    <fill>
      <patternFill patternType="solid">
        <fgColor rgb="FFE3EDFF"/>
        <bgColor rgb="FFE0FAF6"/>
      </patternFill>
    </fill>
    <fill>
      <patternFill patternType="solid">
        <fgColor rgb="FFF5A623"/>
        <bgColor rgb="FFFF8C00"/>
      </patternFill>
    </fill>
    <fill>
      <patternFill patternType="solid">
        <fgColor rgb="FF9C27B0"/>
        <bgColor rgb="FF800080"/>
      </patternFill>
    </fill>
    <fill>
      <patternFill patternType="solid">
        <fgColor rgb="FF2979FF"/>
        <bgColor rgb="FF006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0E0EC"/>
      </left>
      <right style="thin">
        <color rgb="FFE0E0EC"/>
      </right>
      <top style="thin">
        <color rgb="FFE0E0EC"/>
      </top>
      <bottom style="thin">
        <color rgb="FFE0E0EC"/>
      </bottom>
      <diagonal/>
    </border>
    <border diagonalUp="false" diagonalDown="false">
      <left style="thin">
        <color rgb="FFE0E0EC"/>
      </left>
      <right/>
      <top style="thin">
        <color rgb="FFE0E0EC"/>
      </top>
      <bottom style="thin">
        <color rgb="FFE0E0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C27B0"/>
      <rgbColor rgb="FFFEF6E4"/>
      <rgbColor rgb="FFE0FAF6"/>
      <rgbColor rgb="FF660066"/>
      <rgbColor rgb="FFFF8080"/>
      <rgbColor rgb="FF0066CC"/>
      <rgbColor rgb="FFE0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9A7"/>
      <rgbColor rgb="FFE3EDFF"/>
      <rgbColor rgb="FFF4F5F7"/>
      <rgbColor rgb="FFFFF3E0"/>
      <rgbColor rgb="FF99CCFF"/>
      <rgbColor rgb="FFFF99CC"/>
      <rgbColor rgb="FFCC99FF"/>
      <rgbColor rgb="FFFDEAED"/>
      <rgbColor rgb="FF2979FF"/>
      <rgbColor rgb="FF33CCCC"/>
      <rgbColor rgb="FF99CC00"/>
      <rgbColor rgb="FFF5A623"/>
      <rgbColor rgb="FFFF8C00"/>
      <rgbColor rgb="FFFF6600"/>
      <rgbColor rgb="FF6B6B8A"/>
      <rgbColor rgb="FFAAAAAA"/>
      <rgbColor rgb="FF003366"/>
      <rgbColor rgb="FF339966"/>
      <rgbColor rgb="FF003300"/>
      <rgbColor rgb="FF1A1A2E"/>
      <rgbColor rgb="FF993300"/>
      <rgbColor rgb="FFC41E3A"/>
      <rgbColor rgb="FF555577"/>
      <rgbColor rgb="FF252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1E3A"/>
    <pageSetUpPr fitToPage="false"/>
  </sheetPr>
  <dimension ref="A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5"/>
  </cols>
  <sheetData>
    <row r="1" customFormat="false" ht="27.75" hidden="false" customHeight="true" outlineLevel="0" collapsed="false">
      <c r="A1" s="1"/>
      <c r="B1" s="1"/>
      <c r="C1" s="1"/>
      <c r="D1" s="1"/>
    </row>
    <row r="2" customFormat="false" ht="27.75" hidden="false" customHeight="true" outlineLevel="0" collapsed="false">
      <c r="A2" s="1"/>
      <c r="B2" s="2" t="s">
        <v>0</v>
      </c>
      <c r="C2" s="2"/>
      <c r="D2" s="1"/>
    </row>
    <row r="3" customFormat="false" ht="27.75" hidden="false" customHeight="true" outlineLevel="0" collapsed="false">
      <c r="A3" s="1"/>
      <c r="B3" s="3" t="s">
        <v>1</v>
      </c>
      <c r="C3" s="3"/>
      <c r="D3" s="1"/>
    </row>
    <row r="4" customFormat="false" ht="27.75" hidden="false" customHeight="true" outlineLevel="0" collapsed="false">
      <c r="A4" s="1"/>
      <c r="B4" s="1"/>
      <c r="C4" s="1"/>
      <c r="D4" s="1"/>
    </row>
    <row r="5" customFormat="false" ht="27.75" hidden="false" customHeight="true" outlineLevel="0" collapsed="false">
      <c r="A5" s="1"/>
      <c r="B5" s="4" t="s">
        <v>2</v>
      </c>
      <c r="C5" s="4"/>
      <c r="D5" s="1"/>
    </row>
    <row r="6" customFormat="false" ht="27.75" hidden="false" customHeight="true" outlineLevel="0" collapsed="false">
      <c r="A6" s="1"/>
      <c r="B6" s="5" t="s">
        <v>3</v>
      </c>
      <c r="C6" s="5"/>
      <c r="D6" s="1"/>
    </row>
    <row r="7" customFormat="false" ht="27.75" hidden="false" customHeight="true" outlineLevel="0" collapsed="false">
      <c r="A7" s="1"/>
      <c r="B7" s="1"/>
      <c r="C7" s="1"/>
      <c r="D7" s="1"/>
    </row>
    <row r="8" customFormat="false" ht="27.75" hidden="false" customHeight="true" outlineLevel="0" collapsed="false">
      <c r="A8" s="1"/>
      <c r="B8" s="6" t="s">
        <v>4</v>
      </c>
      <c r="C8" s="6"/>
      <c r="D8" s="1"/>
    </row>
    <row r="9" customFormat="false" ht="27.75" hidden="false" customHeight="true" outlineLevel="0" collapsed="false">
      <c r="A9" s="1"/>
      <c r="B9" s="7" t="s">
        <v>5</v>
      </c>
      <c r="C9" s="7"/>
      <c r="D9" s="1"/>
    </row>
    <row r="10" customFormat="false" ht="27.75" hidden="false" customHeight="true" outlineLevel="0" collapsed="false">
      <c r="A10" s="1"/>
      <c r="B10" s="8" t="s">
        <v>6</v>
      </c>
      <c r="C10" s="8"/>
      <c r="D10" s="1"/>
    </row>
    <row r="11" customFormat="false" ht="27.75" hidden="false" customHeight="true" outlineLevel="0" collapsed="false">
      <c r="A11" s="1"/>
      <c r="B11" s="9"/>
      <c r="C11" s="9"/>
      <c r="D11" s="1"/>
    </row>
    <row r="12" customFormat="false" ht="27.75" hidden="false" customHeight="true" outlineLevel="0" collapsed="false">
      <c r="A12" s="1"/>
      <c r="B12" s="10" t="s">
        <v>7</v>
      </c>
      <c r="C12" s="10"/>
      <c r="D12" s="1"/>
    </row>
    <row r="13" customFormat="false" ht="27.75" hidden="false" customHeight="true" outlineLevel="0" collapsed="false">
      <c r="A13" s="1"/>
      <c r="B13" s="11" t="s">
        <v>8</v>
      </c>
      <c r="C13" s="12" t="s">
        <v>9</v>
      </c>
      <c r="D13" s="1"/>
    </row>
    <row r="14" customFormat="false" ht="27.75" hidden="false" customHeight="true" outlineLevel="0" collapsed="false">
      <c r="A14" s="1"/>
      <c r="B14" s="11" t="s">
        <v>10</v>
      </c>
      <c r="C14" s="12" t="s">
        <v>11</v>
      </c>
      <c r="D14" s="1"/>
    </row>
    <row r="15" customFormat="false" ht="27.75" hidden="false" customHeight="true" outlineLevel="0" collapsed="false">
      <c r="A15" s="1"/>
      <c r="B15" s="11" t="s">
        <v>12</v>
      </c>
      <c r="C15" s="12" t="s">
        <v>13</v>
      </c>
      <c r="D15" s="1"/>
    </row>
    <row r="16" customFormat="false" ht="27.75" hidden="false" customHeight="true" outlineLevel="0" collapsed="false">
      <c r="A16" s="1"/>
      <c r="B16" s="11" t="s">
        <v>14</v>
      </c>
      <c r="C16" s="12" t="s">
        <v>15</v>
      </c>
      <c r="D16" s="1"/>
    </row>
    <row r="17" customFormat="false" ht="27.75" hidden="false" customHeight="true" outlineLevel="0" collapsed="false">
      <c r="A17" s="1"/>
      <c r="B17" s="11" t="s">
        <v>16</v>
      </c>
      <c r="C17" s="12" t="s">
        <v>17</v>
      </c>
      <c r="D17" s="1"/>
    </row>
    <row r="18" customFormat="false" ht="27.75" hidden="false" customHeight="true" outlineLevel="0" collapsed="false">
      <c r="A18" s="1"/>
      <c r="B18" s="11" t="s">
        <v>18</v>
      </c>
      <c r="C18" s="12" t="s">
        <v>19</v>
      </c>
      <c r="D18" s="1"/>
    </row>
    <row r="19" customFormat="false" ht="27.75" hidden="false" customHeight="true" outlineLevel="0" collapsed="false">
      <c r="A19" s="1"/>
      <c r="B19" s="11" t="s">
        <v>20</v>
      </c>
      <c r="C19" s="12" t="s">
        <v>21</v>
      </c>
      <c r="D19" s="1"/>
    </row>
    <row r="20" customFormat="false" ht="27.75" hidden="false" customHeight="true" outlineLevel="0" collapsed="false">
      <c r="A20" s="1"/>
      <c r="B20" s="1"/>
      <c r="C20" s="1"/>
      <c r="D20" s="1"/>
    </row>
    <row r="21" customFormat="false" ht="27.75" hidden="false" customHeight="true" outlineLevel="0" collapsed="false">
      <c r="A21" s="1"/>
      <c r="B21" s="13" t="s">
        <v>22</v>
      </c>
      <c r="C21" s="13"/>
      <c r="D21" s="1"/>
    </row>
    <row r="22" customFormat="false" ht="27.75" hidden="false" customHeight="true" outlineLevel="0" collapsed="false">
      <c r="A22" s="1"/>
      <c r="B22" s="1"/>
      <c r="C22" s="1"/>
      <c r="D22" s="1"/>
    </row>
    <row r="23" customFormat="false" ht="27.75" hidden="false" customHeight="true" outlineLevel="0" collapsed="false">
      <c r="A23" s="1"/>
      <c r="B23" s="1"/>
      <c r="C23" s="1"/>
      <c r="D23" s="1"/>
    </row>
    <row r="24" customFormat="false" ht="27.75" hidden="false" customHeight="true" outlineLevel="0" collapsed="false">
      <c r="A24" s="1"/>
      <c r="B24" s="1"/>
      <c r="C24" s="1"/>
      <c r="D24" s="1"/>
    </row>
    <row r="25" customFormat="false" ht="15" hidden="false" customHeight="false" outlineLevel="0" collapsed="false">
      <c r="A25" s="1"/>
      <c r="B25" s="1"/>
      <c r="C25" s="1"/>
      <c r="D25" s="1"/>
    </row>
    <row r="26" customFormat="false" ht="15" hidden="false" customHeight="false" outlineLevel="0" collapsed="false">
      <c r="A26" s="1"/>
      <c r="B26" s="1"/>
      <c r="C26" s="1"/>
      <c r="D26" s="1"/>
    </row>
    <row r="27" customFormat="false" ht="15" hidden="false" customHeight="false" outlineLevel="0" collapsed="false">
      <c r="A27" s="1"/>
      <c r="B27" s="1"/>
      <c r="C27" s="1"/>
      <c r="D27" s="1"/>
    </row>
    <row r="28" customFormat="false" ht="15" hidden="false" customHeight="false" outlineLevel="0" collapsed="false">
      <c r="A28" s="1"/>
      <c r="B28" s="1"/>
      <c r="C28" s="1"/>
      <c r="D28" s="1"/>
    </row>
    <row r="29" customFormat="false" ht="15" hidden="false" customHeight="false" outlineLevel="0" collapsed="false">
      <c r="A29" s="1"/>
      <c r="B29" s="1"/>
      <c r="C29" s="1"/>
      <c r="D29" s="1"/>
    </row>
    <row r="30" customFormat="false" ht="15" hidden="false" customHeight="false" outlineLevel="0" collapsed="false">
      <c r="A30" s="1"/>
      <c r="B30" s="1"/>
      <c r="C30" s="1"/>
      <c r="D30" s="1"/>
    </row>
  </sheetData>
  <mergeCells count="9">
    <mergeCell ref="B2:C2"/>
    <mergeCell ref="B3:C3"/>
    <mergeCell ref="B5:C5"/>
    <mergeCell ref="B6:C6"/>
    <mergeCell ref="B8:C8"/>
    <mergeCell ref="B9:C9"/>
    <mergeCell ref="B10:C10"/>
    <mergeCell ref="B12:C12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1E3A"/>
    <pageSetUpPr fitToPage="false"/>
  </sheetPr>
  <dimension ref="A1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11" min="8" style="0" width="14"/>
    <col collapsed="false" customWidth="true" hidden="false" outlineLevel="0" max="12" min="12" style="0" width="12"/>
    <col collapsed="false" customWidth="true" hidden="false" outlineLevel="0" max="14" min="13" style="0" width="10"/>
  </cols>
  <sheetData>
    <row r="1" customFormat="false" ht="39.75" hidden="false" customHeight="true" outlineLevel="0" collapsed="false">
      <c r="A1" s="14" t="s">
        <v>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21.75" hidden="false" customHeight="true" outlineLevel="0" collapsed="false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customFormat="false" ht="30" hidden="false" customHeight="true" outlineLevel="0" collapsed="false">
      <c r="A3" s="16" t="s">
        <v>25</v>
      </c>
      <c r="B3" s="16" t="s">
        <v>26</v>
      </c>
      <c r="C3" s="16" t="s">
        <v>27</v>
      </c>
      <c r="D3" s="16" t="s">
        <v>28</v>
      </c>
      <c r="E3" s="16" t="s">
        <v>29</v>
      </c>
      <c r="F3" s="16" t="s">
        <v>30</v>
      </c>
      <c r="G3" s="16" t="s">
        <v>31</v>
      </c>
      <c r="H3" s="16" t="s">
        <v>32</v>
      </c>
      <c r="I3" s="16" t="s">
        <v>33</v>
      </c>
      <c r="J3" s="16" t="s">
        <v>34</v>
      </c>
      <c r="K3" s="16" t="s">
        <v>35</v>
      </c>
      <c r="L3" s="16" t="s">
        <v>36</v>
      </c>
      <c r="M3" s="16" t="s">
        <v>37</v>
      </c>
      <c r="N3" s="16" t="s">
        <v>38</v>
      </c>
    </row>
    <row r="4" customFormat="false" ht="15" hidden="false" customHeight="false" outlineLevel="0" collapsed="false">
      <c r="A4" s="17" t="n">
        <v>1</v>
      </c>
      <c r="B4" s="17" t="s">
        <v>39</v>
      </c>
      <c r="C4" s="18" t="s">
        <v>40</v>
      </c>
      <c r="D4" s="18" t="n">
        <v>2022</v>
      </c>
      <c r="E4" s="19" t="n">
        <v>85000000</v>
      </c>
      <c r="F4" s="17" t="n">
        <v>28000</v>
      </c>
      <c r="G4" s="17" t="s">
        <v>41</v>
      </c>
      <c r="H4" s="17" t="s">
        <v>42</v>
      </c>
      <c r="I4" s="17" t="s">
        <v>43</v>
      </c>
      <c r="J4" s="17" t="s">
        <v>44</v>
      </c>
      <c r="K4" s="17" t="s">
        <v>45</v>
      </c>
      <c r="L4" s="18" t="n">
        <v>4.8</v>
      </c>
      <c r="M4" s="18" t="n">
        <v>24</v>
      </c>
      <c r="N4" s="20" t="s">
        <v>46</v>
      </c>
    </row>
    <row r="5" customFormat="false" ht="15" hidden="false" customHeight="false" outlineLevel="0" collapsed="false">
      <c r="A5" s="21" t="n">
        <v>2</v>
      </c>
      <c r="B5" s="21" t="s">
        <v>47</v>
      </c>
      <c r="C5" s="22" t="s">
        <v>48</v>
      </c>
      <c r="D5" s="22" t="n">
        <v>2023</v>
      </c>
      <c r="E5" s="23" t="n">
        <v>102000000</v>
      </c>
      <c r="F5" s="21" t="n">
        <v>12000</v>
      </c>
      <c r="G5" s="21" t="s">
        <v>41</v>
      </c>
      <c r="H5" s="21" t="s">
        <v>42</v>
      </c>
      <c r="I5" s="21" t="s">
        <v>49</v>
      </c>
      <c r="J5" s="21" t="s">
        <v>50</v>
      </c>
      <c r="K5" s="21" t="s">
        <v>51</v>
      </c>
      <c r="L5" s="22" t="n">
        <v>4.9</v>
      </c>
      <c r="M5" s="22" t="n">
        <v>8</v>
      </c>
      <c r="N5" s="20" t="s">
        <v>46</v>
      </c>
    </row>
    <row r="6" customFormat="false" ht="15" hidden="false" customHeight="false" outlineLevel="0" collapsed="false">
      <c r="A6" s="17" t="n">
        <v>3</v>
      </c>
      <c r="B6" s="17" t="s">
        <v>52</v>
      </c>
      <c r="C6" s="18" t="s">
        <v>53</v>
      </c>
      <c r="D6" s="18" t="n">
        <v>2021</v>
      </c>
      <c r="E6" s="19" t="n">
        <v>48000000</v>
      </c>
      <c r="F6" s="17" t="n">
        <v>45000</v>
      </c>
      <c r="G6" s="17" t="s">
        <v>41</v>
      </c>
      <c r="H6" s="17" t="s">
        <v>54</v>
      </c>
      <c r="I6" s="17" t="s">
        <v>55</v>
      </c>
      <c r="J6" s="17" t="s">
        <v>56</v>
      </c>
      <c r="K6" s="17" t="s">
        <v>57</v>
      </c>
      <c r="L6" s="18" t="n">
        <v>4.5</v>
      </c>
      <c r="M6" s="18" t="n">
        <v>15</v>
      </c>
      <c r="N6" s="20" t="s">
        <v>46</v>
      </c>
    </row>
    <row r="7" customFormat="false" ht="15" hidden="false" customHeight="false" outlineLevel="0" collapsed="false">
      <c r="A7" s="21" t="n">
        <v>4</v>
      </c>
      <c r="B7" s="21" t="s">
        <v>58</v>
      </c>
      <c r="C7" s="22" t="s">
        <v>59</v>
      </c>
      <c r="D7" s="22" t="n">
        <v>2022</v>
      </c>
      <c r="E7" s="23" t="n">
        <v>125000000</v>
      </c>
      <c r="F7" s="21" t="n">
        <v>35000</v>
      </c>
      <c r="G7" s="21" t="s">
        <v>41</v>
      </c>
      <c r="H7" s="21" t="s">
        <v>42</v>
      </c>
      <c r="I7" s="21" t="s">
        <v>43</v>
      </c>
      <c r="J7" s="21" t="s">
        <v>60</v>
      </c>
      <c r="K7" s="21" t="s">
        <v>45</v>
      </c>
      <c r="L7" s="22" t="n">
        <v>4.7</v>
      </c>
      <c r="M7" s="22" t="n">
        <v>19</v>
      </c>
      <c r="N7" s="20" t="s">
        <v>46</v>
      </c>
    </row>
    <row r="8" customFormat="false" ht="15" hidden="false" customHeight="false" outlineLevel="0" collapsed="false">
      <c r="A8" s="17" t="n">
        <v>5</v>
      </c>
      <c r="B8" s="17" t="s">
        <v>61</v>
      </c>
      <c r="C8" s="18" t="s">
        <v>62</v>
      </c>
      <c r="D8" s="18" t="n">
        <v>2021</v>
      </c>
      <c r="E8" s="19" t="n">
        <v>138000000</v>
      </c>
      <c r="F8" s="17" t="n">
        <v>52000</v>
      </c>
      <c r="G8" s="17" t="s">
        <v>63</v>
      </c>
      <c r="H8" s="17" t="s">
        <v>42</v>
      </c>
      <c r="I8" s="17" t="s">
        <v>64</v>
      </c>
      <c r="J8" s="17" t="s">
        <v>65</v>
      </c>
      <c r="K8" s="17" t="s">
        <v>51</v>
      </c>
      <c r="L8" s="18" t="n">
        <v>4.6</v>
      </c>
      <c r="M8" s="18" t="n">
        <v>11</v>
      </c>
      <c r="N8" s="20" t="s">
        <v>46</v>
      </c>
    </row>
    <row r="9" customFormat="false" ht="15" hidden="false" customHeight="false" outlineLevel="0" collapsed="false">
      <c r="A9" s="21" t="n">
        <v>6</v>
      </c>
      <c r="B9" s="21" t="s">
        <v>66</v>
      </c>
      <c r="C9" s="22" t="s">
        <v>67</v>
      </c>
      <c r="D9" s="22" t="n">
        <v>2023</v>
      </c>
      <c r="E9" s="23" t="n">
        <v>118000000</v>
      </c>
      <c r="F9" s="21" t="n">
        <v>8000</v>
      </c>
      <c r="G9" s="21" t="s">
        <v>41</v>
      </c>
      <c r="H9" s="21" t="s">
        <v>42</v>
      </c>
      <c r="I9" s="21" t="s">
        <v>68</v>
      </c>
      <c r="J9" s="21" t="s">
        <v>69</v>
      </c>
      <c r="K9" s="21" t="s">
        <v>45</v>
      </c>
      <c r="L9" s="22" t="n">
        <v>5</v>
      </c>
      <c r="M9" s="22" t="n">
        <v>5</v>
      </c>
      <c r="N9" s="20" t="s">
        <v>46</v>
      </c>
    </row>
    <row r="10" customFormat="false" ht="15" hidden="false" customHeight="false" outlineLevel="0" collapsed="false">
      <c r="A10" s="17" t="n">
        <v>7</v>
      </c>
      <c r="B10" s="17" t="s">
        <v>70</v>
      </c>
      <c r="C10" s="18" t="s">
        <v>71</v>
      </c>
      <c r="D10" s="18" t="n">
        <v>2020</v>
      </c>
      <c r="E10" s="19" t="n">
        <v>72000000</v>
      </c>
      <c r="F10" s="17" t="n">
        <v>61000</v>
      </c>
      <c r="G10" s="17" t="s">
        <v>41</v>
      </c>
      <c r="H10" s="17" t="s">
        <v>42</v>
      </c>
      <c r="I10" s="17" t="s">
        <v>43</v>
      </c>
      <c r="J10" s="17" t="s">
        <v>44</v>
      </c>
      <c r="K10" s="17" t="s">
        <v>57</v>
      </c>
      <c r="L10" s="18" t="n">
        <v>4.4</v>
      </c>
      <c r="M10" s="18" t="n">
        <v>28</v>
      </c>
      <c r="N10" s="20" t="s">
        <v>46</v>
      </c>
    </row>
    <row r="11" customFormat="false" ht="15" hidden="false" customHeight="false" outlineLevel="0" collapsed="false">
      <c r="A11" s="21" t="n">
        <v>8</v>
      </c>
      <c r="B11" s="21" t="s">
        <v>72</v>
      </c>
      <c r="C11" s="22" t="s">
        <v>73</v>
      </c>
      <c r="D11" s="22" t="n">
        <v>2022</v>
      </c>
      <c r="E11" s="23" t="n">
        <v>108000000</v>
      </c>
      <c r="F11" s="21" t="n">
        <v>22000</v>
      </c>
      <c r="G11" s="21" t="s">
        <v>41</v>
      </c>
      <c r="H11" s="21" t="s">
        <v>42</v>
      </c>
      <c r="I11" s="21" t="s">
        <v>74</v>
      </c>
      <c r="J11" s="21" t="s">
        <v>75</v>
      </c>
      <c r="K11" s="21" t="s">
        <v>45</v>
      </c>
      <c r="L11" s="22" t="n">
        <v>4.7</v>
      </c>
      <c r="M11" s="22" t="n">
        <v>17</v>
      </c>
      <c r="N11" s="20" t="s">
        <v>46</v>
      </c>
    </row>
    <row r="12" customFormat="false" ht="15" hidden="false" customHeight="false" outlineLevel="0" collapsed="false">
      <c r="A12" s="17" t="n">
        <v>9</v>
      </c>
      <c r="B12" s="17" t="s">
        <v>76</v>
      </c>
      <c r="C12" s="18" t="s">
        <v>77</v>
      </c>
      <c r="D12" s="18" t="n">
        <v>2021</v>
      </c>
      <c r="E12" s="19" t="n">
        <v>155000000</v>
      </c>
      <c r="F12" s="17" t="n">
        <v>43000</v>
      </c>
      <c r="G12" s="17" t="s">
        <v>63</v>
      </c>
      <c r="H12" s="17" t="s">
        <v>42</v>
      </c>
      <c r="I12" s="17" t="s">
        <v>43</v>
      </c>
      <c r="J12" s="17" t="s">
        <v>44</v>
      </c>
      <c r="K12" s="17" t="s">
        <v>45</v>
      </c>
      <c r="L12" s="18" t="n">
        <v>4.9</v>
      </c>
      <c r="M12" s="18" t="n">
        <v>32</v>
      </c>
      <c r="N12" s="20" t="s">
        <v>46</v>
      </c>
    </row>
    <row r="13" customFormat="false" ht="15" hidden="false" customHeight="false" outlineLevel="0" collapsed="false">
      <c r="A13" s="21" t="n">
        <v>10</v>
      </c>
      <c r="B13" s="21" t="s">
        <v>78</v>
      </c>
      <c r="C13" s="22" t="s">
        <v>79</v>
      </c>
      <c r="D13" s="22" t="n">
        <v>2022</v>
      </c>
      <c r="E13" s="23" t="n">
        <v>78000000</v>
      </c>
      <c r="F13" s="21" t="n">
        <v>30000</v>
      </c>
      <c r="G13" s="21" t="s">
        <v>41</v>
      </c>
      <c r="H13" s="21" t="s">
        <v>54</v>
      </c>
      <c r="I13" s="21" t="s">
        <v>55</v>
      </c>
      <c r="J13" s="21" t="s">
        <v>80</v>
      </c>
      <c r="K13" s="21" t="s">
        <v>51</v>
      </c>
      <c r="L13" s="22" t="n">
        <v>4.3</v>
      </c>
      <c r="M13" s="22" t="n">
        <v>21</v>
      </c>
      <c r="N13" s="20" t="s">
        <v>46</v>
      </c>
    </row>
    <row r="14" customFormat="false" ht="15" hidden="false" customHeight="false" outlineLevel="0" collapsed="false">
      <c r="A14" s="17" t="n">
        <v>11</v>
      </c>
      <c r="B14" s="17" t="s">
        <v>81</v>
      </c>
      <c r="C14" s="18" t="s">
        <v>82</v>
      </c>
      <c r="D14" s="18" t="n">
        <v>2023</v>
      </c>
      <c r="E14" s="19" t="n">
        <v>62000000</v>
      </c>
      <c r="F14" s="17" t="n">
        <v>6000</v>
      </c>
      <c r="G14" s="17" t="s">
        <v>41</v>
      </c>
      <c r="H14" s="17" t="s">
        <v>42</v>
      </c>
      <c r="I14" s="17" t="s">
        <v>49</v>
      </c>
      <c r="J14" s="17" t="s">
        <v>50</v>
      </c>
      <c r="K14" s="17" t="s">
        <v>45</v>
      </c>
      <c r="L14" s="18" t="n">
        <v>4.6</v>
      </c>
      <c r="M14" s="18" t="n">
        <v>9</v>
      </c>
      <c r="N14" s="20" t="s">
        <v>46</v>
      </c>
    </row>
    <row r="15" customFormat="false" ht="15" hidden="false" customHeight="false" outlineLevel="0" collapsed="false">
      <c r="A15" s="21" t="n">
        <v>12</v>
      </c>
      <c r="B15" s="21" t="s">
        <v>83</v>
      </c>
      <c r="C15" s="22" t="s">
        <v>84</v>
      </c>
      <c r="D15" s="22" t="n">
        <v>2020</v>
      </c>
      <c r="E15" s="23" t="n">
        <v>175000000</v>
      </c>
      <c r="F15" s="21" t="n">
        <v>48000</v>
      </c>
      <c r="G15" s="21" t="s">
        <v>41</v>
      </c>
      <c r="H15" s="21" t="s">
        <v>42</v>
      </c>
      <c r="I15" s="21" t="s">
        <v>43</v>
      </c>
      <c r="J15" s="21" t="s">
        <v>85</v>
      </c>
      <c r="K15" s="21" t="s">
        <v>45</v>
      </c>
      <c r="L15" s="22" t="n">
        <v>4.8</v>
      </c>
      <c r="M15" s="22" t="n">
        <v>14</v>
      </c>
      <c r="N15" s="20" t="s">
        <v>46</v>
      </c>
    </row>
    <row r="16" customFormat="false" ht="15" hidden="false" customHeight="false" outlineLevel="0" collapsed="false">
      <c r="A16" s="17" t="n">
        <v>13</v>
      </c>
      <c r="B16" s="17" t="s">
        <v>86</v>
      </c>
      <c r="C16" s="18" t="s">
        <v>87</v>
      </c>
      <c r="D16" s="18" t="n">
        <v>2022</v>
      </c>
      <c r="E16" s="19" t="n">
        <v>280000000</v>
      </c>
      <c r="F16" s="17" t="n">
        <v>18000</v>
      </c>
      <c r="G16" s="17" t="s">
        <v>88</v>
      </c>
      <c r="H16" s="17" t="s">
        <v>42</v>
      </c>
      <c r="I16" s="17" t="s">
        <v>43</v>
      </c>
      <c r="J16" s="17" t="s">
        <v>75</v>
      </c>
      <c r="K16" s="17" t="s">
        <v>57</v>
      </c>
      <c r="L16" s="18" t="n">
        <v>4.9</v>
      </c>
      <c r="M16" s="18" t="n">
        <v>6</v>
      </c>
      <c r="N16" s="20" t="s">
        <v>46</v>
      </c>
    </row>
    <row r="17" customFormat="false" ht="15" hidden="false" customHeight="false" outlineLevel="0" collapsed="false">
      <c r="A17" s="21" t="n">
        <v>14</v>
      </c>
      <c r="B17" s="21" t="s">
        <v>89</v>
      </c>
      <c r="C17" s="22" t="s">
        <v>59</v>
      </c>
      <c r="D17" s="22" t="n">
        <v>2022</v>
      </c>
      <c r="E17" s="23" t="n">
        <v>58000000</v>
      </c>
      <c r="F17" s="21" t="n">
        <v>24000</v>
      </c>
      <c r="G17" s="21" t="s">
        <v>41</v>
      </c>
      <c r="H17" s="21" t="s">
        <v>42</v>
      </c>
      <c r="I17" s="21" t="s">
        <v>55</v>
      </c>
      <c r="J17" s="21" t="s">
        <v>60</v>
      </c>
      <c r="K17" s="21" t="s">
        <v>45</v>
      </c>
      <c r="L17" s="22" t="n">
        <v>4.5</v>
      </c>
      <c r="M17" s="22" t="n">
        <v>18</v>
      </c>
      <c r="N17" s="20" t="s">
        <v>46</v>
      </c>
    </row>
    <row r="18" customFormat="false" ht="15" hidden="false" customHeight="false" outlineLevel="0" collapsed="false">
      <c r="A18" s="17" t="n">
        <v>15</v>
      </c>
      <c r="B18" s="17" t="s">
        <v>90</v>
      </c>
      <c r="C18" s="18" t="s">
        <v>62</v>
      </c>
      <c r="D18" s="18" t="n">
        <v>2021</v>
      </c>
      <c r="E18" s="19" t="n">
        <v>210000000</v>
      </c>
      <c r="F18" s="17" t="n">
        <v>38000</v>
      </c>
      <c r="G18" s="17" t="s">
        <v>41</v>
      </c>
      <c r="H18" s="17" t="s">
        <v>42</v>
      </c>
      <c r="I18" s="17" t="s">
        <v>43</v>
      </c>
      <c r="J18" s="17" t="s">
        <v>91</v>
      </c>
      <c r="K18" s="17" t="s">
        <v>51</v>
      </c>
      <c r="L18" s="18" t="n">
        <v>4.7</v>
      </c>
      <c r="M18" s="18" t="n">
        <v>22</v>
      </c>
      <c r="N18" s="20" t="s">
        <v>46</v>
      </c>
    </row>
    <row r="19" customFormat="false" ht="15" hidden="false" customHeight="true" outlineLevel="0" collapsed="false">
      <c r="A19" s="24" t="s">
        <v>92</v>
      </c>
      <c r="B19" s="24"/>
      <c r="C19" s="24"/>
      <c r="D19" s="24"/>
      <c r="E19" s="25" t="n">
        <f aca="false">SUM(E4:E18)</f>
        <v>1814000000</v>
      </c>
      <c r="F19" s="26" t="n">
        <f aca="false">AVERAGE(F4:F18)</f>
        <v>31333.3333333333</v>
      </c>
      <c r="G19" s="1"/>
      <c r="H19" s="1"/>
      <c r="I19" s="1"/>
      <c r="J19" s="1"/>
      <c r="K19" s="1"/>
      <c r="L19" s="1"/>
      <c r="M19" s="1"/>
      <c r="N19" s="1"/>
    </row>
  </sheetData>
  <mergeCells count="3">
    <mergeCell ref="A1:N1"/>
    <mergeCell ref="A2:N2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11" min="9" style="0" width="10"/>
    <col collapsed="false" customWidth="true" hidden="false" outlineLevel="0" max="12" min="12" style="0" width="16"/>
  </cols>
  <sheetData>
    <row r="1" customFormat="false" ht="39.75" hidden="false" customHeight="true" outlineLevel="0" collapsed="false">
      <c r="A1" s="14" t="s">
        <v>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21.75" hidden="false" customHeight="true" outlineLevel="0" collapsed="false">
      <c r="A2" s="15" t="s">
        <v>94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customFormat="false" ht="26.85" hidden="false" customHeight="false" outlineLevel="0" collapsed="false">
      <c r="A3" s="27" t="s">
        <v>25</v>
      </c>
      <c r="B3" s="27" t="s">
        <v>95</v>
      </c>
      <c r="C3" s="27" t="s">
        <v>96</v>
      </c>
      <c r="D3" s="27" t="s">
        <v>97</v>
      </c>
      <c r="E3" s="27" t="s">
        <v>98</v>
      </c>
      <c r="F3" s="27" t="s">
        <v>33</v>
      </c>
      <c r="G3" s="27" t="s">
        <v>99</v>
      </c>
      <c r="H3" s="27" t="s">
        <v>100</v>
      </c>
      <c r="I3" s="27" t="s">
        <v>101</v>
      </c>
      <c r="J3" s="27" t="s">
        <v>102</v>
      </c>
      <c r="K3" s="27" t="s">
        <v>103</v>
      </c>
      <c r="L3" s="27" t="s">
        <v>104</v>
      </c>
    </row>
    <row r="4" customFormat="false" ht="15" hidden="false" customHeight="false" outlineLevel="0" collapsed="false">
      <c r="A4" s="17" t="n">
        <v>1</v>
      </c>
      <c r="B4" s="17" t="s">
        <v>105</v>
      </c>
      <c r="C4" s="17" t="s">
        <v>106</v>
      </c>
      <c r="D4" s="17" t="s">
        <v>107</v>
      </c>
      <c r="E4" s="17" t="s">
        <v>108</v>
      </c>
      <c r="F4" s="17" t="s">
        <v>43</v>
      </c>
      <c r="G4" s="18" t="s">
        <v>109</v>
      </c>
      <c r="H4" s="28" t="n">
        <v>8</v>
      </c>
      <c r="I4" s="28" t="n">
        <v>3</v>
      </c>
      <c r="J4" s="28" t="n">
        <v>200</v>
      </c>
      <c r="K4" s="29" t="s">
        <v>110</v>
      </c>
      <c r="L4" s="17" t="s">
        <v>111</v>
      </c>
    </row>
    <row r="5" customFormat="false" ht="15" hidden="false" customHeight="false" outlineLevel="0" collapsed="false">
      <c r="A5" s="21" t="n">
        <v>2</v>
      </c>
      <c r="B5" s="21" t="s">
        <v>112</v>
      </c>
      <c r="C5" s="21" t="s">
        <v>113</v>
      </c>
      <c r="D5" s="21" t="s">
        <v>114</v>
      </c>
      <c r="E5" s="21" t="s">
        <v>115</v>
      </c>
      <c r="F5" s="21" t="s">
        <v>49</v>
      </c>
      <c r="G5" s="22" t="s">
        <v>116</v>
      </c>
      <c r="H5" s="30" t="n">
        <v>12</v>
      </c>
      <c r="I5" s="30" t="n">
        <v>7</v>
      </c>
      <c r="J5" s="30" t="n">
        <v>450</v>
      </c>
      <c r="K5" s="29" t="s">
        <v>110</v>
      </c>
      <c r="L5" s="21" t="s">
        <v>117</v>
      </c>
    </row>
    <row r="6" customFormat="false" ht="15" hidden="false" customHeight="false" outlineLevel="0" collapsed="false">
      <c r="A6" s="17" t="n">
        <v>3</v>
      </c>
      <c r="B6" s="17" t="s">
        <v>118</v>
      </c>
      <c r="C6" s="17" t="s">
        <v>119</v>
      </c>
      <c r="D6" s="17" t="s">
        <v>120</v>
      </c>
      <c r="E6" s="17" t="s">
        <v>121</v>
      </c>
      <c r="F6" s="17" t="s">
        <v>55</v>
      </c>
      <c r="G6" s="18" t="s">
        <v>109</v>
      </c>
      <c r="H6" s="28" t="n">
        <v>5</v>
      </c>
      <c r="I6" s="28" t="n">
        <v>2</v>
      </c>
      <c r="J6" s="28" t="n">
        <v>120</v>
      </c>
      <c r="K6" s="31" t="s">
        <v>122</v>
      </c>
      <c r="L6" s="17" t="s">
        <v>123</v>
      </c>
    </row>
    <row r="7" customFormat="false" ht="15" hidden="false" customHeight="false" outlineLevel="0" collapsed="false">
      <c r="A7" s="21" t="n">
        <v>4</v>
      </c>
      <c r="B7" s="21" t="s">
        <v>124</v>
      </c>
      <c r="C7" s="21" t="s">
        <v>125</v>
      </c>
      <c r="D7" s="21" t="s">
        <v>126</v>
      </c>
      <c r="E7" s="21" t="s">
        <v>127</v>
      </c>
      <c r="F7" s="21" t="s">
        <v>43</v>
      </c>
      <c r="G7" s="22" t="s">
        <v>128</v>
      </c>
      <c r="H7" s="30" t="n">
        <v>0</v>
      </c>
      <c r="I7" s="30" t="n">
        <v>0</v>
      </c>
      <c r="J7" s="30" t="n">
        <v>50</v>
      </c>
      <c r="K7" s="31" t="s">
        <v>122</v>
      </c>
      <c r="L7" s="21" t="s">
        <v>129</v>
      </c>
    </row>
    <row r="8" customFormat="false" ht="15" hidden="false" customHeight="false" outlineLevel="0" collapsed="false">
      <c r="A8" s="17" t="n">
        <v>5</v>
      </c>
      <c r="B8" s="17" t="s">
        <v>130</v>
      </c>
      <c r="C8" s="17" t="s">
        <v>131</v>
      </c>
      <c r="D8" s="17" t="s">
        <v>132</v>
      </c>
      <c r="E8" s="17" t="s">
        <v>133</v>
      </c>
      <c r="F8" s="17" t="s">
        <v>64</v>
      </c>
      <c r="G8" s="18" t="s">
        <v>116</v>
      </c>
      <c r="H8" s="28" t="n">
        <v>3</v>
      </c>
      <c r="I8" s="28" t="n">
        <v>1</v>
      </c>
      <c r="J8" s="28" t="n">
        <v>80</v>
      </c>
      <c r="K8" s="31" t="s">
        <v>122</v>
      </c>
      <c r="L8" s="17" t="s">
        <v>134</v>
      </c>
    </row>
    <row r="9" customFormat="false" ht="15" hidden="false" customHeight="false" outlineLevel="0" collapsed="false">
      <c r="A9" s="21" t="n">
        <v>6</v>
      </c>
      <c r="B9" s="21" t="s">
        <v>135</v>
      </c>
      <c r="C9" s="21" t="s">
        <v>136</v>
      </c>
      <c r="D9" s="21" t="s">
        <v>137</v>
      </c>
      <c r="E9" s="21" t="s">
        <v>138</v>
      </c>
      <c r="F9" s="21" t="s">
        <v>68</v>
      </c>
      <c r="G9" s="22" t="s">
        <v>116</v>
      </c>
      <c r="H9" s="30" t="n">
        <v>6</v>
      </c>
      <c r="I9" s="30" t="n">
        <v>4</v>
      </c>
      <c r="J9" s="30" t="n">
        <v>310</v>
      </c>
      <c r="K9" s="29" t="s">
        <v>110</v>
      </c>
      <c r="L9" s="21" t="s">
        <v>139</v>
      </c>
    </row>
    <row r="10" customFormat="false" ht="15" hidden="false" customHeight="false" outlineLevel="0" collapsed="false">
      <c r="A10" s="17" t="n">
        <v>7</v>
      </c>
      <c r="B10" s="17" t="s">
        <v>140</v>
      </c>
      <c r="C10" s="17" t="s">
        <v>141</v>
      </c>
      <c r="D10" s="17" t="s">
        <v>142</v>
      </c>
      <c r="E10" s="17" t="s">
        <v>143</v>
      </c>
      <c r="F10" s="17" t="s">
        <v>74</v>
      </c>
      <c r="G10" s="18" t="s">
        <v>128</v>
      </c>
      <c r="H10" s="28" t="n">
        <v>0</v>
      </c>
      <c r="I10" s="28" t="n">
        <v>0</v>
      </c>
      <c r="J10" s="28" t="n">
        <v>20</v>
      </c>
      <c r="K10" s="31" t="s">
        <v>122</v>
      </c>
      <c r="L10" s="17" t="s">
        <v>144</v>
      </c>
    </row>
    <row r="11" customFormat="false" ht="15" hidden="false" customHeight="false" outlineLevel="0" collapsed="false">
      <c r="A11" s="21" t="n">
        <v>8</v>
      </c>
      <c r="B11" s="21" t="s">
        <v>145</v>
      </c>
      <c r="C11" s="21" t="s">
        <v>146</v>
      </c>
      <c r="D11" s="21" t="s">
        <v>147</v>
      </c>
      <c r="E11" s="21" t="s">
        <v>148</v>
      </c>
      <c r="F11" s="21" t="s">
        <v>43</v>
      </c>
      <c r="G11" s="22" t="s">
        <v>109</v>
      </c>
      <c r="H11" s="30" t="n">
        <v>4</v>
      </c>
      <c r="I11" s="30" t="n">
        <v>2</v>
      </c>
      <c r="J11" s="30" t="n">
        <v>160</v>
      </c>
      <c r="K11" s="31" t="s">
        <v>122</v>
      </c>
      <c r="L11" s="21" t="s">
        <v>149</v>
      </c>
    </row>
    <row r="12" customFormat="false" ht="15" hidden="false" customHeight="false" outlineLevel="0" collapsed="false">
      <c r="A12" s="17" t="n">
        <v>9</v>
      </c>
      <c r="B12" s="17" t="s">
        <v>150</v>
      </c>
      <c r="C12" s="17" t="s">
        <v>151</v>
      </c>
      <c r="D12" s="17" t="s">
        <v>152</v>
      </c>
      <c r="E12" s="17" t="s">
        <v>153</v>
      </c>
      <c r="F12" s="17" t="s">
        <v>55</v>
      </c>
      <c r="G12" s="18" t="s">
        <v>116</v>
      </c>
      <c r="H12" s="28" t="n">
        <v>9</v>
      </c>
      <c r="I12" s="28" t="n">
        <v>5</v>
      </c>
      <c r="J12" s="28" t="n">
        <v>520</v>
      </c>
      <c r="K12" s="32" t="s">
        <v>154</v>
      </c>
      <c r="L12" s="17" t="s">
        <v>155</v>
      </c>
    </row>
    <row r="13" customFormat="false" ht="15" hidden="false" customHeight="false" outlineLevel="0" collapsed="false">
      <c r="A13" s="33" t="n">
        <v>10</v>
      </c>
      <c r="B13" s="33" t="s">
        <v>156</v>
      </c>
      <c r="C13" s="33" t="s">
        <v>5</v>
      </c>
      <c r="D13" s="33" t="s">
        <v>157</v>
      </c>
      <c r="E13" s="33" t="s">
        <v>158</v>
      </c>
      <c r="F13" s="33" t="s">
        <v>43</v>
      </c>
      <c r="G13" s="34" t="s">
        <v>159</v>
      </c>
      <c r="H13" s="34" t="n">
        <v>0</v>
      </c>
      <c r="I13" s="34" t="n">
        <v>0</v>
      </c>
      <c r="J13" s="34" t="n">
        <v>9999</v>
      </c>
      <c r="K13" s="34" t="s">
        <v>160</v>
      </c>
      <c r="L13" s="33" t="s">
        <v>161</v>
      </c>
    </row>
    <row r="14" customFormat="false" ht="15" hidden="false" customHeight="true" outlineLevel="0" collapsed="false">
      <c r="A14" s="24" t="s">
        <v>162</v>
      </c>
      <c r="B14" s="24"/>
      <c r="C14" s="24"/>
      <c r="D14" s="24"/>
      <c r="E14" s="24"/>
      <c r="F14" s="24"/>
      <c r="G14" s="24"/>
      <c r="H14" s="35" t="n">
        <f aca="false">SUM(H4:H13)</f>
        <v>47</v>
      </c>
      <c r="I14" s="35" t="n">
        <f aca="false">SUM(I4:I13)</f>
        <v>24</v>
      </c>
      <c r="J14" s="35" t="n">
        <f aca="false">SUM(J4:J13)</f>
        <v>11909</v>
      </c>
    </row>
  </sheetData>
  <mergeCells count="3">
    <mergeCell ref="A1:L1"/>
    <mergeCell ref="A2:L2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9A7"/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36"/>
    <col collapsed="false" customWidth="true" hidden="false" outlineLevel="0" max="12" min="12" style="0" width="14"/>
  </cols>
  <sheetData>
    <row r="1" customFormat="false" ht="39.75" hidden="false" customHeight="true" outlineLevel="0" collapsed="false">
      <c r="A1" s="14" t="s">
        <v>163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21.75" hidden="false" customHeight="true" outlineLevel="0" collapsed="false">
      <c r="A2" s="15" t="s">
        <v>164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customFormat="false" ht="15" hidden="false" customHeight="false" outlineLevel="0" collapsed="false">
      <c r="A3" s="36" t="s">
        <v>25</v>
      </c>
      <c r="B3" s="36" t="s">
        <v>165</v>
      </c>
      <c r="C3" s="36" t="s">
        <v>166</v>
      </c>
      <c r="D3" s="36" t="s">
        <v>167</v>
      </c>
      <c r="E3" s="36" t="s">
        <v>168</v>
      </c>
      <c r="F3" s="36" t="s">
        <v>33</v>
      </c>
      <c r="G3" s="36" t="s">
        <v>169</v>
      </c>
      <c r="H3" s="36" t="s">
        <v>170</v>
      </c>
      <c r="I3" s="36" t="s">
        <v>171</v>
      </c>
      <c r="J3" s="36" t="s">
        <v>38</v>
      </c>
      <c r="K3" s="36" t="s">
        <v>172</v>
      </c>
      <c r="L3" s="36" t="s">
        <v>173</v>
      </c>
    </row>
    <row r="4" customFormat="false" ht="23.85" hidden="false" customHeight="false" outlineLevel="0" collapsed="false">
      <c r="A4" s="17" t="s">
        <v>174</v>
      </c>
      <c r="B4" s="17" t="s">
        <v>175</v>
      </c>
      <c r="C4" s="17" t="s">
        <v>176</v>
      </c>
      <c r="D4" s="17" t="s">
        <v>177</v>
      </c>
      <c r="E4" s="17" t="s">
        <v>178</v>
      </c>
      <c r="F4" s="17" t="s">
        <v>43</v>
      </c>
      <c r="G4" s="19" t="n">
        <v>65000000</v>
      </c>
      <c r="H4" s="19" t="n">
        <v>20000000</v>
      </c>
      <c r="I4" s="17" t="s">
        <v>179</v>
      </c>
      <c r="J4" s="20" t="s">
        <v>180</v>
      </c>
      <c r="K4" s="17" t="s">
        <v>181</v>
      </c>
      <c r="L4" s="32" t="s">
        <v>182</v>
      </c>
    </row>
    <row r="5" customFormat="false" ht="15" hidden="false" customHeight="false" outlineLevel="0" collapsed="false">
      <c r="A5" s="21" t="s">
        <v>183</v>
      </c>
      <c r="B5" s="21" t="s">
        <v>184</v>
      </c>
      <c r="C5" s="21" t="s">
        <v>185</v>
      </c>
      <c r="D5" s="21" t="s">
        <v>186</v>
      </c>
      <c r="E5" s="21" t="s">
        <v>187</v>
      </c>
      <c r="F5" s="21" t="s">
        <v>55</v>
      </c>
      <c r="G5" s="23" t="n">
        <v>72000000</v>
      </c>
      <c r="H5" s="23" t="n">
        <v>24000000</v>
      </c>
      <c r="I5" s="21" t="s">
        <v>188</v>
      </c>
      <c r="J5" s="20" t="s">
        <v>180</v>
      </c>
      <c r="K5" s="21" t="s">
        <v>189</v>
      </c>
      <c r="L5" s="32" t="s">
        <v>182</v>
      </c>
    </row>
    <row r="6" customFormat="false" ht="15" hidden="false" customHeight="false" outlineLevel="0" collapsed="false">
      <c r="A6" s="17" t="s">
        <v>190</v>
      </c>
      <c r="B6" s="17" t="s">
        <v>191</v>
      </c>
      <c r="C6" s="17" t="s">
        <v>192</v>
      </c>
      <c r="D6" s="17" t="s">
        <v>193</v>
      </c>
      <c r="E6" s="17" t="s">
        <v>194</v>
      </c>
      <c r="F6" s="17" t="s">
        <v>43</v>
      </c>
      <c r="G6" s="19" t="n">
        <v>62000000</v>
      </c>
      <c r="H6" s="19" t="n">
        <v>46000000</v>
      </c>
      <c r="I6" s="17" t="s">
        <v>195</v>
      </c>
      <c r="J6" s="32" t="s">
        <v>196</v>
      </c>
      <c r="K6" s="17" t="s">
        <v>197</v>
      </c>
      <c r="L6" s="37" t="s">
        <v>198</v>
      </c>
    </row>
    <row r="7" customFormat="false" ht="15" hidden="false" customHeight="false" outlineLevel="0" collapsed="false">
      <c r="A7" s="21" t="s">
        <v>199</v>
      </c>
      <c r="B7" s="21" t="s">
        <v>200</v>
      </c>
      <c r="C7" s="21" t="s">
        <v>201</v>
      </c>
      <c r="D7" s="21" t="s">
        <v>202</v>
      </c>
      <c r="E7" s="21" t="s">
        <v>185</v>
      </c>
      <c r="F7" s="21" t="s">
        <v>64</v>
      </c>
      <c r="G7" s="23" t="n">
        <v>78000000</v>
      </c>
      <c r="H7" s="23" t="n">
        <v>60000000</v>
      </c>
      <c r="I7" s="21" t="s">
        <v>203</v>
      </c>
      <c r="J7" s="20" t="s">
        <v>180</v>
      </c>
      <c r="K7" s="21" t="s">
        <v>204</v>
      </c>
      <c r="L7" s="32" t="s">
        <v>182</v>
      </c>
    </row>
    <row r="8" customFormat="false" ht="15" hidden="false" customHeight="false" outlineLevel="0" collapsed="false">
      <c r="A8" s="17" t="s">
        <v>205</v>
      </c>
      <c r="B8" s="17" t="s">
        <v>206</v>
      </c>
      <c r="C8" s="17" t="s">
        <v>187</v>
      </c>
      <c r="D8" s="17" t="s">
        <v>207</v>
      </c>
      <c r="E8" s="17" t="s">
        <v>178</v>
      </c>
      <c r="F8" s="17" t="s">
        <v>49</v>
      </c>
      <c r="G8" s="19" t="n">
        <v>58000000</v>
      </c>
      <c r="H8" s="19" t="n">
        <v>44000000</v>
      </c>
      <c r="I8" s="17" t="s">
        <v>208</v>
      </c>
      <c r="J8" s="29" t="s">
        <v>209</v>
      </c>
      <c r="K8" s="17" t="s">
        <v>210</v>
      </c>
      <c r="L8" s="20" t="s">
        <v>211</v>
      </c>
    </row>
    <row r="9" customFormat="false" ht="15" hidden="false" customHeight="false" outlineLevel="0" collapsed="false">
      <c r="A9" s="21" t="s">
        <v>212</v>
      </c>
      <c r="B9" s="21" t="s">
        <v>213</v>
      </c>
      <c r="C9" s="21" t="s">
        <v>194</v>
      </c>
      <c r="D9" s="21" t="s">
        <v>214</v>
      </c>
      <c r="E9" s="21" t="s">
        <v>192</v>
      </c>
      <c r="F9" s="21" t="s">
        <v>43</v>
      </c>
      <c r="G9" s="23" t="n">
        <v>210000000</v>
      </c>
      <c r="H9" s="23" t="n">
        <v>70000000</v>
      </c>
      <c r="I9" s="21" t="s">
        <v>215</v>
      </c>
      <c r="J9" s="34" t="s">
        <v>216</v>
      </c>
      <c r="K9" s="21" t="s">
        <v>217</v>
      </c>
      <c r="L9" s="34" t="s">
        <v>216</v>
      </c>
    </row>
    <row r="10" customFormat="false" ht="15" hidden="false" customHeight="false" outlineLevel="0" collapsed="false">
      <c r="A10" s="17" t="s">
        <v>218</v>
      </c>
      <c r="B10" s="17" t="s">
        <v>219</v>
      </c>
      <c r="C10" s="17" t="s">
        <v>201</v>
      </c>
      <c r="D10" s="17" t="s">
        <v>220</v>
      </c>
      <c r="E10" s="17" t="s">
        <v>221</v>
      </c>
      <c r="F10" s="17" t="s">
        <v>43</v>
      </c>
      <c r="G10" s="19" t="n">
        <v>155000000</v>
      </c>
      <c r="H10" s="19" t="n">
        <v>20000000</v>
      </c>
      <c r="I10" s="17" t="s">
        <v>222</v>
      </c>
      <c r="J10" s="29" t="s">
        <v>209</v>
      </c>
      <c r="K10" s="17" t="s">
        <v>223</v>
      </c>
      <c r="L10" s="20" t="s">
        <v>211</v>
      </c>
    </row>
    <row r="11" customFormat="false" ht="23.85" hidden="false" customHeight="false" outlineLevel="0" collapsed="false">
      <c r="A11" s="21" t="s">
        <v>224</v>
      </c>
      <c r="B11" s="21" t="s">
        <v>225</v>
      </c>
      <c r="C11" s="21" t="s">
        <v>178</v>
      </c>
      <c r="D11" s="21" t="s">
        <v>226</v>
      </c>
      <c r="E11" s="21" t="s">
        <v>221</v>
      </c>
      <c r="F11" s="21" t="s">
        <v>43</v>
      </c>
      <c r="G11" s="23" t="n">
        <v>118000000</v>
      </c>
      <c r="H11" s="23" t="n">
        <v>7000000</v>
      </c>
      <c r="I11" s="21" t="s">
        <v>227</v>
      </c>
      <c r="J11" s="20" t="s">
        <v>180</v>
      </c>
      <c r="K11" s="21" t="s">
        <v>228</v>
      </c>
      <c r="L11" s="32" t="s">
        <v>182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P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7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28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39.75" hidden="false" customHeight="true" outlineLevel="0" collapsed="false">
      <c r="A1" s="14" t="s">
        <v>229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customFormat="false" ht="21.75" hidden="false" customHeight="true" outlineLevel="0" collapsed="false">
      <c r="A2" s="15" t="s">
        <v>230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customFormat="false" ht="26.85" hidden="false" customHeight="false" outlineLevel="0" collapsed="false">
      <c r="A3" s="38" t="s">
        <v>231</v>
      </c>
      <c r="B3" s="38" t="s">
        <v>232</v>
      </c>
      <c r="C3" s="38" t="s">
        <v>233</v>
      </c>
      <c r="D3" s="38" t="s">
        <v>28</v>
      </c>
      <c r="E3" s="38" t="s">
        <v>234</v>
      </c>
      <c r="F3" s="38" t="s">
        <v>35</v>
      </c>
      <c r="G3" s="38" t="s">
        <v>235</v>
      </c>
      <c r="H3" s="38" t="s">
        <v>116</v>
      </c>
      <c r="I3" s="38" t="s">
        <v>236</v>
      </c>
      <c r="J3" s="38" t="s">
        <v>237</v>
      </c>
      <c r="K3" s="38" t="s">
        <v>238</v>
      </c>
      <c r="L3" s="38" t="s">
        <v>239</v>
      </c>
      <c r="M3" s="38" t="s">
        <v>240</v>
      </c>
      <c r="N3" s="38" t="s">
        <v>241</v>
      </c>
      <c r="O3" s="38" t="s">
        <v>242</v>
      </c>
      <c r="P3" s="38" t="s">
        <v>243</v>
      </c>
    </row>
    <row r="4" customFormat="false" ht="15" hidden="false" customHeight="false" outlineLevel="0" collapsed="false">
      <c r="A4" s="17" t="s">
        <v>244</v>
      </c>
      <c r="B4" s="17" t="n">
        <v>1</v>
      </c>
      <c r="C4" s="17" t="s">
        <v>245</v>
      </c>
      <c r="D4" s="17" t="n">
        <v>2022</v>
      </c>
      <c r="E4" s="19" t="n">
        <v>85000000</v>
      </c>
      <c r="F4" s="17" t="s">
        <v>45</v>
      </c>
      <c r="G4" s="20" t="s">
        <v>180</v>
      </c>
      <c r="H4" s="17" t="s">
        <v>105</v>
      </c>
      <c r="I4" s="17" t="s">
        <v>106</v>
      </c>
      <c r="J4" s="17" t="s">
        <v>107</v>
      </c>
      <c r="K4" s="17" t="s">
        <v>108</v>
      </c>
      <c r="L4" s="17" t="s">
        <v>43</v>
      </c>
      <c r="M4" s="20" t="s">
        <v>246</v>
      </c>
      <c r="N4" s="17" t="s">
        <v>179</v>
      </c>
      <c r="O4" s="39" t="n">
        <v>287</v>
      </c>
      <c r="P4" s="39" t="n">
        <v>23</v>
      </c>
    </row>
    <row r="5" customFormat="false" ht="15" hidden="false" customHeight="false" outlineLevel="0" collapsed="false">
      <c r="A5" s="21" t="s">
        <v>247</v>
      </c>
      <c r="B5" s="21" t="n">
        <v>2</v>
      </c>
      <c r="C5" s="21" t="s">
        <v>248</v>
      </c>
      <c r="D5" s="21" t="n">
        <v>2023</v>
      </c>
      <c r="E5" s="23" t="n">
        <v>102000000</v>
      </c>
      <c r="F5" s="21" t="s">
        <v>51</v>
      </c>
      <c r="G5" s="20" t="s">
        <v>180</v>
      </c>
      <c r="H5" s="21" t="s">
        <v>112</v>
      </c>
      <c r="I5" s="21" t="s">
        <v>113</v>
      </c>
      <c r="J5" s="21" t="s">
        <v>114</v>
      </c>
      <c r="K5" s="21" t="s">
        <v>115</v>
      </c>
      <c r="L5" s="21" t="s">
        <v>49</v>
      </c>
      <c r="M5" s="20" t="s">
        <v>246</v>
      </c>
      <c r="N5" s="21" t="s">
        <v>195</v>
      </c>
      <c r="O5" s="40" t="n">
        <v>412</v>
      </c>
      <c r="P5" s="40" t="n">
        <v>31</v>
      </c>
    </row>
    <row r="6" customFormat="false" ht="15" hidden="false" customHeight="false" outlineLevel="0" collapsed="false">
      <c r="A6" s="17" t="s">
        <v>249</v>
      </c>
      <c r="B6" s="17" t="n">
        <v>3</v>
      </c>
      <c r="C6" s="17" t="s">
        <v>250</v>
      </c>
      <c r="D6" s="17" t="n">
        <v>2021</v>
      </c>
      <c r="E6" s="19" t="n">
        <v>48000000</v>
      </c>
      <c r="F6" s="17" t="s">
        <v>57</v>
      </c>
      <c r="G6" s="20" t="s">
        <v>180</v>
      </c>
      <c r="H6" s="17" t="s">
        <v>118</v>
      </c>
      <c r="I6" s="17" t="s">
        <v>119</v>
      </c>
      <c r="J6" s="17" t="s">
        <v>120</v>
      </c>
      <c r="K6" s="17" t="s">
        <v>121</v>
      </c>
      <c r="L6" s="17" t="s">
        <v>55</v>
      </c>
      <c r="M6" s="34" t="s">
        <v>251</v>
      </c>
      <c r="N6" s="17" t="s">
        <v>208</v>
      </c>
      <c r="O6" s="39" t="n">
        <v>156</v>
      </c>
      <c r="P6" s="39" t="n">
        <v>12</v>
      </c>
    </row>
    <row r="7" customFormat="false" ht="15" hidden="false" customHeight="false" outlineLevel="0" collapsed="false">
      <c r="A7" s="21" t="s">
        <v>252</v>
      </c>
      <c r="B7" s="21" t="n">
        <v>4</v>
      </c>
      <c r="C7" s="21" t="s">
        <v>253</v>
      </c>
      <c r="D7" s="21" t="n">
        <v>2022</v>
      </c>
      <c r="E7" s="23" t="n">
        <v>125000000</v>
      </c>
      <c r="F7" s="21" t="s">
        <v>45</v>
      </c>
      <c r="G7" s="20" t="s">
        <v>180</v>
      </c>
      <c r="H7" s="21" t="s">
        <v>124</v>
      </c>
      <c r="I7" s="21" t="s">
        <v>125</v>
      </c>
      <c r="J7" s="21" t="s">
        <v>126</v>
      </c>
      <c r="K7" s="21" t="s">
        <v>127</v>
      </c>
      <c r="L7" s="21" t="s">
        <v>43</v>
      </c>
      <c r="M7" s="20" t="s">
        <v>246</v>
      </c>
      <c r="N7" s="21" t="s">
        <v>215</v>
      </c>
      <c r="O7" s="40" t="n">
        <v>198</v>
      </c>
      <c r="P7" s="40" t="n">
        <v>18</v>
      </c>
    </row>
    <row r="8" customFormat="false" ht="15" hidden="false" customHeight="false" outlineLevel="0" collapsed="false">
      <c r="A8" s="17" t="s">
        <v>254</v>
      </c>
      <c r="B8" s="17" t="n">
        <v>5</v>
      </c>
      <c r="C8" s="17" t="s">
        <v>255</v>
      </c>
      <c r="D8" s="17" t="n">
        <v>2021</v>
      </c>
      <c r="E8" s="19" t="n">
        <v>138000000</v>
      </c>
      <c r="F8" s="17" t="s">
        <v>51</v>
      </c>
      <c r="G8" s="20" t="s">
        <v>180</v>
      </c>
      <c r="H8" s="17" t="s">
        <v>130</v>
      </c>
      <c r="I8" s="17" t="s">
        <v>131</v>
      </c>
      <c r="J8" s="17" t="s">
        <v>132</v>
      </c>
      <c r="K8" s="17" t="s">
        <v>133</v>
      </c>
      <c r="L8" s="17" t="s">
        <v>64</v>
      </c>
      <c r="M8" s="20" t="s">
        <v>246</v>
      </c>
      <c r="N8" s="17" t="s">
        <v>256</v>
      </c>
      <c r="O8" s="39" t="n">
        <v>341</v>
      </c>
      <c r="P8" s="39" t="n">
        <v>27</v>
      </c>
    </row>
    <row r="9" customFormat="false" ht="15" hidden="false" customHeight="false" outlineLevel="0" collapsed="false">
      <c r="A9" s="21" t="s">
        <v>257</v>
      </c>
      <c r="B9" s="21" t="n">
        <v>6</v>
      </c>
      <c r="C9" s="21" t="s">
        <v>258</v>
      </c>
      <c r="D9" s="21" t="n">
        <v>2023</v>
      </c>
      <c r="E9" s="23" t="n">
        <v>118000000</v>
      </c>
      <c r="F9" s="21" t="s">
        <v>45</v>
      </c>
      <c r="G9" s="20" t="s">
        <v>180</v>
      </c>
      <c r="H9" s="21" t="s">
        <v>135</v>
      </c>
      <c r="I9" s="21" t="s">
        <v>136</v>
      </c>
      <c r="J9" s="21" t="s">
        <v>137</v>
      </c>
      <c r="K9" s="21" t="s">
        <v>138</v>
      </c>
      <c r="L9" s="21" t="s">
        <v>68</v>
      </c>
      <c r="M9" s="20" t="s">
        <v>246</v>
      </c>
      <c r="N9" s="21" t="s">
        <v>222</v>
      </c>
      <c r="O9" s="40" t="n">
        <v>223</v>
      </c>
      <c r="P9" s="40" t="n">
        <v>19</v>
      </c>
    </row>
    <row r="10" customFormat="false" ht="15" hidden="false" customHeight="false" outlineLevel="0" collapsed="false">
      <c r="A10" s="17" t="s">
        <v>259</v>
      </c>
      <c r="B10" s="17" t="n">
        <v>7</v>
      </c>
      <c r="C10" s="17" t="s">
        <v>260</v>
      </c>
      <c r="D10" s="17" t="n">
        <v>2020</v>
      </c>
      <c r="E10" s="19" t="n">
        <v>72000000</v>
      </c>
      <c r="F10" s="17" t="s">
        <v>57</v>
      </c>
      <c r="G10" s="20" t="s">
        <v>180</v>
      </c>
      <c r="H10" s="17" t="s">
        <v>118</v>
      </c>
      <c r="I10" s="17" t="s">
        <v>119</v>
      </c>
      <c r="J10" s="17" t="s">
        <v>120</v>
      </c>
      <c r="K10" s="17" t="s">
        <v>121</v>
      </c>
      <c r="L10" s="17" t="s">
        <v>55</v>
      </c>
      <c r="M10" s="34" t="s">
        <v>251</v>
      </c>
      <c r="N10" s="17" t="s">
        <v>227</v>
      </c>
      <c r="O10" s="39" t="n">
        <v>167</v>
      </c>
      <c r="P10" s="39" t="n">
        <v>14</v>
      </c>
    </row>
    <row r="11" customFormat="false" ht="15" hidden="false" customHeight="false" outlineLevel="0" collapsed="false">
      <c r="A11" s="21" t="s">
        <v>261</v>
      </c>
      <c r="B11" s="21" t="n">
        <v>8</v>
      </c>
      <c r="C11" s="21" t="s">
        <v>262</v>
      </c>
      <c r="D11" s="21" t="n">
        <v>2022</v>
      </c>
      <c r="E11" s="23" t="n">
        <v>108000000</v>
      </c>
      <c r="F11" s="21" t="s">
        <v>45</v>
      </c>
      <c r="G11" s="20" t="s">
        <v>180</v>
      </c>
      <c r="H11" s="21" t="s">
        <v>130</v>
      </c>
      <c r="I11" s="21" t="s">
        <v>131</v>
      </c>
      <c r="J11" s="21" t="s">
        <v>132</v>
      </c>
      <c r="K11" s="21" t="s">
        <v>133</v>
      </c>
      <c r="L11" s="21" t="s">
        <v>74</v>
      </c>
      <c r="M11" s="20" t="s">
        <v>246</v>
      </c>
      <c r="N11" s="21" t="s">
        <v>111</v>
      </c>
      <c r="O11" s="40" t="n">
        <v>289</v>
      </c>
      <c r="P11" s="40" t="n">
        <v>22</v>
      </c>
    </row>
    <row r="12" customFormat="false" ht="15" hidden="false" customHeight="false" outlineLevel="0" collapsed="false">
      <c r="A12" s="17" t="s">
        <v>263</v>
      </c>
      <c r="B12" s="17" t="n">
        <v>9</v>
      </c>
      <c r="C12" s="17" t="s">
        <v>264</v>
      </c>
      <c r="D12" s="17" t="n">
        <v>2021</v>
      </c>
      <c r="E12" s="19" t="n">
        <v>155000000</v>
      </c>
      <c r="F12" s="17" t="s">
        <v>45</v>
      </c>
      <c r="G12" s="20" t="s">
        <v>180</v>
      </c>
      <c r="H12" s="17" t="s">
        <v>150</v>
      </c>
      <c r="I12" s="17" t="s">
        <v>151</v>
      </c>
      <c r="J12" s="17" t="s">
        <v>152</v>
      </c>
      <c r="K12" s="17" t="s">
        <v>153</v>
      </c>
      <c r="L12" s="17" t="s">
        <v>43</v>
      </c>
      <c r="M12" s="20" t="s">
        <v>246</v>
      </c>
      <c r="N12" s="17" t="s">
        <v>265</v>
      </c>
      <c r="O12" s="39" t="n">
        <v>478</v>
      </c>
      <c r="P12" s="39" t="n">
        <v>38</v>
      </c>
    </row>
    <row r="13" customFormat="false" ht="15" hidden="false" customHeight="false" outlineLevel="0" collapsed="false">
      <c r="A13" s="21" t="s">
        <v>266</v>
      </c>
      <c r="B13" s="21" t="n">
        <v>10</v>
      </c>
      <c r="C13" s="21" t="s">
        <v>267</v>
      </c>
      <c r="D13" s="21" t="n">
        <v>2022</v>
      </c>
      <c r="E13" s="23" t="n">
        <v>78000000</v>
      </c>
      <c r="F13" s="21" t="s">
        <v>51</v>
      </c>
      <c r="G13" s="20" t="s">
        <v>180</v>
      </c>
      <c r="H13" s="21" t="s">
        <v>150</v>
      </c>
      <c r="I13" s="21" t="s">
        <v>151</v>
      </c>
      <c r="J13" s="21" t="s">
        <v>152</v>
      </c>
      <c r="K13" s="21" t="s">
        <v>153</v>
      </c>
      <c r="L13" s="21" t="s">
        <v>55</v>
      </c>
      <c r="M13" s="20" t="s">
        <v>246</v>
      </c>
      <c r="N13" s="21" t="s">
        <v>268</v>
      </c>
      <c r="O13" s="40" t="n">
        <v>234</v>
      </c>
      <c r="P13" s="40" t="n">
        <v>17</v>
      </c>
    </row>
    <row r="14" customFormat="false" ht="15" hidden="false" customHeight="false" outlineLevel="0" collapsed="false">
      <c r="A14" s="17" t="s">
        <v>269</v>
      </c>
      <c r="B14" s="17" t="n">
        <v>11</v>
      </c>
      <c r="C14" s="17" t="s">
        <v>270</v>
      </c>
      <c r="D14" s="17" t="n">
        <v>2023</v>
      </c>
      <c r="E14" s="19" t="n">
        <v>62000000</v>
      </c>
      <c r="F14" s="17" t="s">
        <v>45</v>
      </c>
      <c r="G14" s="20" t="s">
        <v>180</v>
      </c>
      <c r="H14" s="17" t="s">
        <v>135</v>
      </c>
      <c r="I14" s="17" t="s">
        <v>136</v>
      </c>
      <c r="J14" s="17" t="s">
        <v>137</v>
      </c>
      <c r="K14" s="17" t="s">
        <v>138</v>
      </c>
      <c r="L14" s="17" t="s">
        <v>49</v>
      </c>
      <c r="M14" s="20" t="s">
        <v>246</v>
      </c>
      <c r="N14" s="17" t="s">
        <v>161</v>
      </c>
      <c r="O14" s="39" t="n">
        <v>312</v>
      </c>
      <c r="P14" s="39" t="n">
        <v>25</v>
      </c>
    </row>
    <row r="15" customFormat="false" ht="15" hidden="false" customHeight="false" outlineLevel="0" collapsed="false">
      <c r="A15" s="21" t="s">
        <v>271</v>
      </c>
      <c r="B15" s="21" t="n">
        <v>12</v>
      </c>
      <c r="C15" s="21" t="s">
        <v>272</v>
      </c>
      <c r="D15" s="21" t="n">
        <v>2020</v>
      </c>
      <c r="E15" s="23" t="n">
        <v>175000000</v>
      </c>
      <c r="F15" s="21" t="s">
        <v>45</v>
      </c>
      <c r="G15" s="20" t="s">
        <v>180</v>
      </c>
      <c r="H15" s="21" t="s">
        <v>112</v>
      </c>
      <c r="I15" s="21" t="s">
        <v>113</v>
      </c>
      <c r="J15" s="21" t="s">
        <v>114</v>
      </c>
      <c r="K15" s="21" t="s">
        <v>115</v>
      </c>
      <c r="L15" s="21" t="s">
        <v>43</v>
      </c>
      <c r="M15" s="20" t="s">
        <v>246</v>
      </c>
      <c r="N15" s="21" t="s">
        <v>273</v>
      </c>
      <c r="O15" s="40" t="n">
        <v>521</v>
      </c>
      <c r="P15" s="40" t="n">
        <v>43</v>
      </c>
    </row>
    <row r="16" customFormat="false" ht="15" hidden="false" customHeight="false" outlineLevel="0" collapsed="false">
      <c r="A16" s="17" t="s">
        <v>274</v>
      </c>
      <c r="B16" s="17" t="n">
        <v>13</v>
      </c>
      <c r="C16" s="17" t="s">
        <v>275</v>
      </c>
      <c r="D16" s="17" t="n">
        <v>2022</v>
      </c>
      <c r="E16" s="19" t="n">
        <v>280000000</v>
      </c>
      <c r="F16" s="17" t="s">
        <v>57</v>
      </c>
      <c r="G16" s="20" t="s">
        <v>180</v>
      </c>
      <c r="H16" s="17" t="s">
        <v>145</v>
      </c>
      <c r="I16" s="17" t="s">
        <v>146</v>
      </c>
      <c r="J16" s="17" t="s">
        <v>147</v>
      </c>
      <c r="K16" s="17" t="s">
        <v>148</v>
      </c>
      <c r="L16" s="17" t="s">
        <v>43</v>
      </c>
      <c r="M16" s="20" t="s">
        <v>246</v>
      </c>
      <c r="N16" s="17" t="s">
        <v>276</v>
      </c>
      <c r="O16" s="39" t="n">
        <v>389</v>
      </c>
      <c r="P16" s="39" t="n">
        <v>31</v>
      </c>
    </row>
    <row r="17" customFormat="false" ht="15" hidden="false" customHeight="false" outlineLevel="0" collapsed="false">
      <c r="A17" s="21" t="s">
        <v>277</v>
      </c>
      <c r="B17" s="21" t="n">
        <v>14</v>
      </c>
      <c r="C17" s="21" t="s">
        <v>278</v>
      </c>
      <c r="D17" s="21" t="n">
        <v>2022</v>
      </c>
      <c r="E17" s="23" t="n">
        <v>58000000</v>
      </c>
      <c r="F17" s="21" t="s">
        <v>45</v>
      </c>
      <c r="G17" s="20" t="s">
        <v>180</v>
      </c>
      <c r="H17" s="21" t="s">
        <v>105</v>
      </c>
      <c r="I17" s="21" t="s">
        <v>106</v>
      </c>
      <c r="J17" s="21" t="s">
        <v>107</v>
      </c>
      <c r="K17" s="21" t="s">
        <v>108</v>
      </c>
      <c r="L17" s="21" t="s">
        <v>55</v>
      </c>
      <c r="M17" s="20" t="s">
        <v>246</v>
      </c>
      <c r="N17" s="21" t="s">
        <v>279</v>
      </c>
      <c r="O17" s="40" t="n">
        <v>198</v>
      </c>
      <c r="P17" s="40" t="n">
        <v>16</v>
      </c>
    </row>
    <row r="18" customFormat="false" ht="15" hidden="false" customHeight="false" outlineLevel="0" collapsed="false">
      <c r="A18" s="17" t="s">
        <v>280</v>
      </c>
      <c r="B18" s="17" t="n">
        <v>15</v>
      </c>
      <c r="C18" s="17" t="s">
        <v>281</v>
      </c>
      <c r="D18" s="17" t="n">
        <v>2021</v>
      </c>
      <c r="E18" s="19" t="n">
        <v>210000000</v>
      </c>
      <c r="F18" s="17" t="s">
        <v>51</v>
      </c>
      <c r="G18" s="20" t="s">
        <v>180</v>
      </c>
      <c r="H18" s="17" t="s">
        <v>150</v>
      </c>
      <c r="I18" s="17" t="s">
        <v>151</v>
      </c>
      <c r="J18" s="17" t="s">
        <v>152</v>
      </c>
      <c r="K18" s="17" t="s">
        <v>153</v>
      </c>
      <c r="L18" s="17" t="s">
        <v>43</v>
      </c>
      <c r="M18" s="20" t="s">
        <v>246</v>
      </c>
      <c r="N18" s="17" t="s">
        <v>282</v>
      </c>
      <c r="O18" s="39" t="n">
        <v>445</v>
      </c>
      <c r="P18" s="39" t="n">
        <v>36</v>
      </c>
    </row>
    <row r="19" customFormat="false" ht="15" hidden="false" customHeight="true" outlineLevel="0" collapsed="false">
      <c r="A19" s="24" t="s">
        <v>162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35" t="n">
        <f aca="false">SUM(O4:O18)</f>
        <v>4650</v>
      </c>
      <c r="P19" s="35" t="n">
        <f aca="false">SUM(P4:P18)</f>
        <v>372</v>
      </c>
    </row>
  </sheetData>
  <mergeCells count="3">
    <mergeCell ref="A1:P1"/>
    <mergeCell ref="A2:P2"/>
    <mergeCell ref="A19: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32"/>
  </cols>
  <sheetData>
    <row r="1" customFormat="false" ht="39.75" hidden="false" customHeight="true" outlineLevel="0" collapsed="false">
      <c r="A1" s="14" t="s">
        <v>283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21.75" hidden="false" customHeight="true" outlineLevel="0" collapsed="false">
      <c r="A2" s="15" t="s">
        <v>284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customFormat="false" ht="26.85" hidden="false" customHeight="false" outlineLevel="0" collapsed="false">
      <c r="A3" s="41" t="s">
        <v>25</v>
      </c>
      <c r="B3" s="41" t="s">
        <v>233</v>
      </c>
      <c r="C3" s="41" t="s">
        <v>285</v>
      </c>
      <c r="D3" s="41" t="s">
        <v>116</v>
      </c>
      <c r="E3" s="41" t="s">
        <v>286</v>
      </c>
      <c r="F3" s="41" t="s">
        <v>33</v>
      </c>
      <c r="G3" s="41" t="s">
        <v>287</v>
      </c>
      <c r="H3" s="41" t="s">
        <v>171</v>
      </c>
      <c r="I3" s="41" t="s">
        <v>38</v>
      </c>
      <c r="J3" s="41" t="s">
        <v>288</v>
      </c>
      <c r="K3" s="41" t="s">
        <v>289</v>
      </c>
      <c r="L3" s="41" t="s">
        <v>290</v>
      </c>
    </row>
    <row r="4" customFormat="false" ht="15" hidden="false" customHeight="false" outlineLevel="0" collapsed="false">
      <c r="A4" s="17" t="s">
        <v>291</v>
      </c>
      <c r="B4" s="17" t="s">
        <v>177</v>
      </c>
      <c r="C4" s="17" t="s">
        <v>292</v>
      </c>
      <c r="D4" s="17" t="s">
        <v>176</v>
      </c>
      <c r="E4" s="17" t="s">
        <v>293</v>
      </c>
      <c r="F4" s="17" t="s">
        <v>43</v>
      </c>
      <c r="G4" s="19" t="n">
        <v>85000000</v>
      </c>
      <c r="H4" s="17" t="s">
        <v>179</v>
      </c>
      <c r="I4" s="20" t="s">
        <v>46</v>
      </c>
      <c r="J4" s="18" t="n">
        <v>50</v>
      </c>
      <c r="K4" s="18" t="n">
        <v>11</v>
      </c>
      <c r="L4" s="17" t="s">
        <v>294</v>
      </c>
    </row>
    <row r="5" customFormat="false" ht="15" hidden="false" customHeight="false" outlineLevel="0" collapsed="false">
      <c r="A5" s="21" t="s">
        <v>295</v>
      </c>
      <c r="B5" s="21" t="s">
        <v>207</v>
      </c>
      <c r="C5" s="21" t="s">
        <v>296</v>
      </c>
      <c r="D5" s="21" t="s">
        <v>178</v>
      </c>
      <c r="E5" s="21" t="s">
        <v>194</v>
      </c>
      <c r="F5" s="21" t="s">
        <v>49</v>
      </c>
      <c r="G5" s="23" t="n">
        <v>102000000</v>
      </c>
      <c r="H5" s="21" t="s">
        <v>195</v>
      </c>
      <c r="I5" s="32" t="s">
        <v>182</v>
      </c>
      <c r="J5" s="22" t="n">
        <v>0</v>
      </c>
      <c r="K5" s="22" t="n">
        <v>5</v>
      </c>
      <c r="L5" s="21" t="s">
        <v>297</v>
      </c>
    </row>
    <row r="6" customFormat="false" ht="15" hidden="false" customHeight="false" outlineLevel="0" collapsed="false">
      <c r="A6" s="17" t="s">
        <v>298</v>
      </c>
      <c r="B6" s="17" t="s">
        <v>175</v>
      </c>
      <c r="C6" s="17" t="s">
        <v>45</v>
      </c>
      <c r="D6" s="17" t="s">
        <v>176</v>
      </c>
      <c r="E6" s="17" t="s">
        <v>185</v>
      </c>
      <c r="F6" s="17" t="s">
        <v>43</v>
      </c>
      <c r="G6" s="19" t="n">
        <v>65000000</v>
      </c>
      <c r="H6" s="17" t="s">
        <v>299</v>
      </c>
      <c r="I6" s="37" t="s">
        <v>300</v>
      </c>
      <c r="J6" s="18" t="n">
        <v>200</v>
      </c>
      <c r="K6" s="18" t="n">
        <v>18</v>
      </c>
      <c r="L6" s="17" t="s">
        <v>301</v>
      </c>
    </row>
    <row r="7" customFormat="false" ht="15" hidden="false" customHeight="false" outlineLevel="0" collapsed="false">
      <c r="A7" s="21" t="s">
        <v>302</v>
      </c>
      <c r="B7" s="21" t="s">
        <v>303</v>
      </c>
      <c r="C7" s="21" t="s">
        <v>57</v>
      </c>
      <c r="D7" s="21" t="s">
        <v>176</v>
      </c>
      <c r="E7" s="21" t="s">
        <v>178</v>
      </c>
      <c r="F7" s="21" t="s">
        <v>43</v>
      </c>
      <c r="G7" s="23" t="n">
        <v>95000000</v>
      </c>
      <c r="H7" s="21" t="s">
        <v>304</v>
      </c>
      <c r="I7" s="37" t="s">
        <v>300</v>
      </c>
      <c r="J7" s="22" t="n">
        <v>150</v>
      </c>
      <c r="K7" s="22" t="n">
        <v>22</v>
      </c>
      <c r="L7" s="21" t="s">
        <v>305</v>
      </c>
    </row>
    <row r="8" customFormat="false" ht="15" hidden="false" customHeight="false" outlineLevel="0" collapsed="false">
      <c r="A8" s="17" t="s">
        <v>306</v>
      </c>
      <c r="B8" s="17" t="s">
        <v>307</v>
      </c>
      <c r="C8" s="17" t="s">
        <v>45</v>
      </c>
      <c r="D8" s="17" t="s">
        <v>187</v>
      </c>
      <c r="E8" s="17" t="s">
        <v>308</v>
      </c>
      <c r="F8" s="17" t="s">
        <v>55</v>
      </c>
      <c r="G8" s="19" t="n">
        <v>35000000</v>
      </c>
      <c r="H8" s="17" t="s">
        <v>309</v>
      </c>
      <c r="I8" s="37" t="s">
        <v>300</v>
      </c>
      <c r="J8" s="18" t="n">
        <v>100</v>
      </c>
      <c r="K8" s="18" t="n">
        <v>14</v>
      </c>
      <c r="L8" s="17" t="s">
        <v>310</v>
      </c>
    </row>
    <row r="9" customFormat="false" ht="15" hidden="false" customHeight="false" outlineLevel="0" collapsed="false">
      <c r="A9" s="21" t="s">
        <v>311</v>
      </c>
      <c r="B9" s="21" t="s">
        <v>312</v>
      </c>
      <c r="C9" s="21" t="s">
        <v>292</v>
      </c>
      <c r="D9" s="21" t="s">
        <v>192</v>
      </c>
      <c r="E9" s="21" t="s">
        <v>293</v>
      </c>
      <c r="F9" s="21" t="s">
        <v>68</v>
      </c>
      <c r="G9" s="23" t="n">
        <v>42000000</v>
      </c>
      <c r="H9" s="21" t="s">
        <v>313</v>
      </c>
      <c r="I9" s="34" t="s">
        <v>314</v>
      </c>
      <c r="J9" s="22" t="n">
        <v>0</v>
      </c>
      <c r="K9" s="22" t="n">
        <v>30</v>
      </c>
      <c r="L9" s="21" t="s">
        <v>315</v>
      </c>
    </row>
    <row r="10" customFormat="false" ht="15" hidden="false" customHeight="false" outlineLevel="0" collapsed="false">
      <c r="A10" s="17" t="s">
        <v>316</v>
      </c>
      <c r="B10" s="17" t="s">
        <v>317</v>
      </c>
      <c r="C10" s="17" t="s">
        <v>45</v>
      </c>
      <c r="D10" s="17" t="s">
        <v>201</v>
      </c>
      <c r="E10" s="17" t="s">
        <v>194</v>
      </c>
      <c r="F10" s="17" t="s">
        <v>43</v>
      </c>
      <c r="G10" s="19" t="n">
        <v>88000000</v>
      </c>
      <c r="H10" s="17" t="s">
        <v>318</v>
      </c>
      <c r="I10" s="37" t="s">
        <v>300</v>
      </c>
      <c r="J10" s="18" t="n">
        <v>120</v>
      </c>
      <c r="K10" s="18" t="n">
        <v>25</v>
      </c>
      <c r="L10" s="17" t="s">
        <v>319</v>
      </c>
    </row>
    <row r="11" customFormat="false" ht="15" hidden="false" customHeight="false" outlineLevel="0" collapsed="false">
      <c r="A11" s="21" t="s">
        <v>320</v>
      </c>
      <c r="B11" s="21" t="s">
        <v>321</v>
      </c>
      <c r="C11" s="21" t="s">
        <v>57</v>
      </c>
      <c r="D11" s="21" t="s">
        <v>221</v>
      </c>
      <c r="E11" s="21" t="s">
        <v>185</v>
      </c>
      <c r="F11" s="21" t="s">
        <v>43</v>
      </c>
      <c r="G11" s="23" t="n">
        <v>72000000</v>
      </c>
      <c r="H11" s="21" t="s">
        <v>322</v>
      </c>
      <c r="I11" s="37" t="s">
        <v>300</v>
      </c>
      <c r="J11" s="22" t="n">
        <v>130</v>
      </c>
      <c r="K11" s="22" t="n">
        <v>19</v>
      </c>
      <c r="L11" s="21" t="s">
        <v>323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79FF"/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9" min="9" style="0" width="16"/>
  </cols>
  <sheetData>
    <row r="1" customFormat="false" ht="39.75" hidden="false" customHeight="true" outlineLevel="0" collapsed="false">
      <c r="A1" s="14" t="s">
        <v>324</v>
      </c>
      <c r="B1" s="14"/>
      <c r="C1" s="14"/>
      <c r="D1" s="14"/>
      <c r="E1" s="14"/>
      <c r="F1" s="14"/>
      <c r="G1" s="14"/>
      <c r="H1" s="14"/>
      <c r="I1" s="14"/>
    </row>
    <row r="2" customFormat="false" ht="21.75" hidden="false" customHeight="true" outlineLevel="0" collapsed="false">
      <c r="A2" s="15" t="s">
        <v>325</v>
      </c>
      <c r="B2" s="15"/>
      <c r="C2" s="15"/>
      <c r="D2" s="15"/>
      <c r="E2" s="15"/>
      <c r="F2" s="15"/>
      <c r="G2" s="15"/>
      <c r="H2" s="15"/>
      <c r="I2" s="15"/>
    </row>
    <row r="3" customFormat="false" ht="15" hidden="false" customHeight="false" outlineLevel="0" collapsed="false">
      <c r="A3" s="42" t="s">
        <v>25</v>
      </c>
      <c r="B3" s="42" t="s">
        <v>285</v>
      </c>
      <c r="C3" s="42" t="s">
        <v>326</v>
      </c>
      <c r="D3" s="42" t="s">
        <v>327</v>
      </c>
      <c r="E3" s="42" t="s">
        <v>328</v>
      </c>
      <c r="F3" s="42" t="s">
        <v>171</v>
      </c>
      <c r="G3" s="42" t="s">
        <v>329</v>
      </c>
      <c r="H3" s="42" t="s">
        <v>330</v>
      </c>
      <c r="I3" s="42" t="s">
        <v>331</v>
      </c>
    </row>
    <row r="4" customFormat="false" ht="15" hidden="false" customHeight="false" outlineLevel="0" collapsed="false">
      <c r="A4" s="17" t="s">
        <v>332</v>
      </c>
      <c r="B4" s="17" t="s">
        <v>172</v>
      </c>
      <c r="C4" s="17" t="s">
        <v>333</v>
      </c>
      <c r="D4" s="17" t="s">
        <v>334</v>
      </c>
      <c r="E4" s="17" t="s">
        <v>176</v>
      </c>
      <c r="F4" s="17" t="s">
        <v>335</v>
      </c>
      <c r="G4" s="17" t="s">
        <v>336</v>
      </c>
      <c r="H4" s="34" t="s">
        <v>251</v>
      </c>
      <c r="I4" s="37" t="s">
        <v>337</v>
      </c>
    </row>
    <row r="5" customFormat="false" ht="15" hidden="false" customHeight="false" outlineLevel="0" collapsed="false">
      <c r="A5" s="21" t="s">
        <v>338</v>
      </c>
      <c r="B5" s="21" t="s">
        <v>339</v>
      </c>
      <c r="C5" s="21" t="s">
        <v>340</v>
      </c>
      <c r="D5" s="21" t="s">
        <v>341</v>
      </c>
      <c r="E5" s="21" t="s">
        <v>176</v>
      </c>
      <c r="F5" s="21" t="s">
        <v>335</v>
      </c>
      <c r="G5" s="21" t="s">
        <v>342</v>
      </c>
      <c r="H5" s="34" t="s">
        <v>251</v>
      </c>
      <c r="I5" s="37" t="s">
        <v>343</v>
      </c>
    </row>
    <row r="6" customFormat="false" ht="15" hidden="false" customHeight="false" outlineLevel="0" collapsed="false">
      <c r="A6" s="17" t="s">
        <v>344</v>
      </c>
      <c r="B6" s="17" t="s">
        <v>57</v>
      </c>
      <c r="C6" s="17" t="s">
        <v>345</v>
      </c>
      <c r="D6" s="17" t="s">
        <v>346</v>
      </c>
      <c r="E6" s="17" t="s">
        <v>176</v>
      </c>
      <c r="F6" s="17" t="s">
        <v>347</v>
      </c>
      <c r="G6" s="17" t="s">
        <v>348</v>
      </c>
      <c r="H6" s="34" t="s">
        <v>251</v>
      </c>
      <c r="I6" s="37" t="s">
        <v>349</v>
      </c>
    </row>
    <row r="7" customFormat="false" ht="15" hidden="false" customHeight="false" outlineLevel="0" collapsed="false">
      <c r="A7" s="21" t="s">
        <v>350</v>
      </c>
      <c r="B7" s="21" t="s">
        <v>351</v>
      </c>
      <c r="C7" s="21" t="s">
        <v>352</v>
      </c>
      <c r="D7" s="21" t="s">
        <v>353</v>
      </c>
      <c r="E7" s="21" t="s">
        <v>178</v>
      </c>
      <c r="F7" s="21" t="s">
        <v>347</v>
      </c>
      <c r="G7" s="21" t="s">
        <v>354</v>
      </c>
      <c r="H7" s="43" t="s">
        <v>246</v>
      </c>
      <c r="I7" s="37" t="s">
        <v>355</v>
      </c>
    </row>
    <row r="8" customFormat="false" ht="15" hidden="false" customHeight="false" outlineLevel="0" collapsed="false">
      <c r="A8" s="17" t="s">
        <v>356</v>
      </c>
      <c r="B8" s="17" t="s">
        <v>357</v>
      </c>
      <c r="C8" s="17" t="s">
        <v>358</v>
      </c>
      <c r="D8" s="17" t="s">
        <v>359</v>
      </c>
      <c r="E8" s="17" t="s">
        <v>178</v>
      </c>
      <c r="F8" s="17" t="s">
        <v>347</v>
      </c>
      <c r="G8" s="17" t="s">
        <v>360</v>
      </c>
      <c r="H8" s="43" t="s">
        <v>246</v>
      </c>
      <c r="I8" s="37" t="s">
        <v>343</v>
      </c>
    </row>
    <row r="9" customFormat="false" ht="15" hidden="false" customHeight="false" outlineLevel="0" collapsed="false">
      <c r="A9" s="21" t="s">
        <v>361</v>
      </c>
      <c r="B9" s="21" t="s">
        <v>362</v>
      </c>
      <c r="C9" s="21" t="s">
        <v>363</v>
      </c>
      <c r="D9" s="21" t="s">
        <v>364</v>
      </c>
      <c r="E9" s="21" t="s">
        <v>187</v>
      </c>
      <c r="F9" s="21" t="s">
        <v>365</v>
      </c>
      <c r="G9" s="21" t="s">
        <v>366</v>
      </c>
      <c r="H9" s="43" t="s">
        <v>246</v>
      </c>
      <c r="I9" s="37" t="s">
        <v>367</v>
      </c>
    </row>
    <row r="10" customFormat="false" ht="15" hidden="false" customHeight="false" outlineLevel="0" collapsed="false">
      <c r="A10" s="17" t="s">
        <v>368</v>
      </c>
      <c r="B10" s="17" t="s">
        <v>102</v>
      </c>
      <c r="C10" s="17" t="s">
        <v>369</v>
      </c>
      <c r="D10" s="17" t="s">
        <v>370</v>
      </c>
      <c r="E10" s="17" t="s">
        <v>192</v>
      </c>
      <c r="F10" s="17" t="s">
        <v>371</v>
      </c>
      <c r="G10" s="17" t="s">
        <v>372</v>
      </c>
      <c r="H10" s="43" t="s">
        <v>246</v>
      </c>
      <c r="I10" s="37" t="s">
        <v>373</v>
      </c>
    </row>
    <row r="11" customFormat="false" ht="15" hidden="false" customHeight="false" outlineLevel="0" collapsed="false">
      <c r="A11" s="21" t="s">
        <v>374</v>
      </c>
      <c r="B11" s="21" t="s">
        <v>375</v>
      </c>
      <c r="C11" s="21" t="s">
        <v>376</v>
      </c>
      <c r="D11" s="21" t="s">
        <v>377</v>
      </c>
      <c r="E11" s="21" t="s">
        <v>176</v>
      </c>
      <c r="F11" s="21" t="s">
        <v>123</v>
      </c>
      <c r="G11" s="21" t="s">
        <v>378</v>
      </c>
      <c r="H11" s="43" t="s">
        <v>246</v>
      </c>
      <c r="I11" s="37" t="s">
        <v>343</v>
      </c>
    </row>
    <row r="12" customFormat="false" ht="15" hidden="false" customHeight="false" outlineLevel="0" collapsed="false">
      <c r="A12" s="17" t="s">
        <v>379</v>
      </c>
      <c r="B12" s="17" t="s">
        <v>172</v>
      </c>
      <c r="C12" s="17" t="s">
        <v>380</v>
      </c>
      <c r="D12" s="17" t="s">
        <v>381</v>
      </c>
      <c r="E12" s="17" t="s">
        <v>185</v>
      </c>
      <c r="F12" s="17" t="s">
        <v>382</v>
      </c>
      <c r="G12" s="17" t="s">
        <v>383</v>
      </c>
      <c r="H12" s="43" t="s">
        <v>246</v>
      </c>
      <c r="I12" s="37" t="s">
        <v>337</v>
      </c>
    </row>
    <row r="13" customFormat="false" ht="15" hidden="false" customHeight="false" outlineLevel="0" collapsed="false">
      <c r="A13" s="21" t="s">
        <v>384</v>
      </c>
      <c r="B13" s="21" t="s">
        <v>357</v>
      </c>
      <c r="C13" s="21" t="s">
        <v>385</v>
      </c>
      <c r="D13" s="21" t="s">
        <v>386</v>
      </c>
      <c r="E13" s="21" t="s">
        <v>194</v>
      </c>
      <c r="F13" s="21" t="s">
        <v>129</v>
      </c>
      <c r="G13" s="21" t="s">
        <v>387</v>
      </c>
      <c r="H13" s="43" t="s">
        <v>246</v>
      </c>
      <c r="I13" s="37" t="s">
        <v>388</v>
      </c>
    </row>
    <row r="14" customFormat="false" ht="15" hidden="false" customHeight="false" outlineLevel="0" collapsed="false">
      <c r="A14" s="17" t="s">
        <v>389</v>
      </c>
      <c r="B14" s="17" t="s">
        <v>362</v>
      </c>
      <c r="C14" s="17" t="s">
        <v>390</v>
      </c>
      <c r="D14" s="17" t="s">
        <v>391</v>
      </c>
      <c r="E14" s="17" t="s">
        <v>187</v>
      </c>
      <c r="F14" s="17" t="s">
        <v>392</v>
      </c>
      <c r="G14" s="17" t="s">
        <v>393</v>
      </c>
      <c r="H14" s="34" t="s">
        <v>251</v>
      </c>
      <c r="I14" s="37" t="s">
        <v>394</v>
      </c>
    </row>
    <row r="15" customFormat="false" ht="15" hidden="false" customHeight="false" outlineLevel="0" collapsed="false">
      <c r="A15" s="21" t="s">
        <v>395</v>
      </c>
      <c r="B15" s="21" t="s">
        <v>57</v>
      </c>
      <c r="C15" s="21" t="s">
        <v>396</v>
      </c>
      <c r="D15" s="21" t="s">
        <v>397</v>
      </c>
      <c r="E15" s="21" t="s">
        <v>194</v>
      </c>
      <c r="F15" s="21" t="s">
        <v>398</v>
      </c>
      <c r="G15" s="21" t="s">
        <v>399</v>
      </c>
      <c r="H15" s="43" t="s">
        <v>246</v>
      </c>
      <c r="I15" s="37" t="s">
        <v>400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L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37.5" hidden="false" customHeight="true" outlineLevel="0" collapsed="false">
      <c r="A1" s="44" t="s">
        <v>401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false" outlineLevel="0" collapsed="false">
      <c r="A2" s="45" t="s">
        <v>402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15" hidden="false" customHeight="false" outlineLevel="0" collapsed="false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customFormat="false" ht="31.5" hidden="false" customHeight="true" outlineLevel="0" collapsed="false">
      <c r="A4" s="47" t="s">
        <v>403</v>
      </c>
      <c r="B4" s="47"/>
      <c r="C4" s="47" t="s">
        <v>404</v>
      </c>
      <c r="D4" s="47"/>
      <c r="E4" s="47" t="s">
        <v>405</v>
      </c>
      <c r="F4" s="47"/>
      <c r="G4" s="47" t="s">
        <v>406</v>
      </c>
      <c r="H4" s="47"/>
      <c r="I4" s="47" t="s">
        <v>407</v>
      </c>
      <c r="J4" s="47"/>
      <c r="K4" s="47" t="s">
        <v>408</v>
      </c>
      <c r="L4" s="47"/>
    </row>
    <row r="5" customFormat="false" ht="15" hidden="false" customHeight="false" outlineLevel="0" collapsed="false">
      <c r="A5" s="48" t="s">
        <v>409</v>
      </c>
      <c r="B5" s="48"/>
      <c r="C5" s="48" t="s">
        <v>410</v>
      </c>
      <c r="D5" s="48"/>
      <c r="E5" s="48" t="s">
        <v>411</v>
      </c>
      <c r="F5" s="48"/>
      <c r="G5" s="48" t="s">
        <v>412</v>
      </c>
      <c r="H5" s="48"/>
      <c r="I5" s="48" t="s">
        <v>413</v>
      </c>
      <c r="J5" s="48"/>
      <c r="K5" s="48" t="s">
        <v>414</v>
      </c>
      <c r="L5" s="48"/>
    </row>
    <row r="6" customFormat="false" ht="15" hidden="false" customHeight="false" outlineLevel="0" collapsed="false">
      <c r="A6" s="49" t="n">
        <f aca="false">COUNTA('🚗 VEHÍCULOS'!A4:A18)</f>
        <v>15</v>
      </c>
      <c r="B6" s="49"/>
      <c r="C6" s="50" t="n">
        <f aca="false">COUNTA('👥 USUARIOS'!A4:A13)</f>
        <v>10</v>
      </c>
      <c r="D6" s="50"/>
      <c r="E6" s="51" t="n">
        <f aca="false">COUNTIF('🔄 PERMUTAS'!J4:J11,"Activa")</f>
        <v>4</v>
      </c>
      <c r="F6" s="51"/>
      <c r="G6" s="52" t="n">
        <f aca="false">COUNTIF('📋 PUBLICACIONES'!G4:G18,"Activa")</f>
        <v>15</v>
      </c>
      <c r="H6" s="52"/>
      <c r="I6" s="53" t="n">
        <f aca="false">SUM('🚗 VEHÍCULOS'!E4:E18)</f>
        <v>1814000000</v>
      </c>
      <c r="J6" s="53"/>
      <c r="K6" s="54" t="n">
        <f aca="false">AVERAGE('🚗 VEHÍCULOS'!L4:L18)</f>
        <v>4.68666666666667</v>
      </c>
      <c r="L6" s="54"/>
    </row>
    <row r="7" customFormat="false" ht="15" hidden="false" customHeight="false" outlineLevel="0" collapsed="false">
      <c r="A7" s="49"/>
      <c r="B7" s="49"/>
      <c r="C7" s="50"/>
      <c r="D7" s="50"/>
      <c r="E7" s="51"/>
      <c r="F7" s="51"/>
      <c r="G7" s="52"/>
      <c r="H7" s="52"/>
      <c r="I7" s="53"/>
      <c r="J7" s="53"/>
      <c r="K7" s="54"/>
      <c r="L7" s="54"/>
    </row>
    <row r="8" customFormat="false" ht="15" hidden="false" customHeight="false" outlineLevel="0" collapsed="false">
      <c r="A8" s="49"/>
      <c r="B8" s="49"/>
      <c r="C8" s="50"/>
      <c r="D8" s="50"/>
      <c r="E8" s="51"/>
      <c r="F8" s="51"/>
      <c r="G8" s="52"/>
      <c r="H8" s="52"/>
      <c r="I8" s="53"/>
      <c r="J8" s="53"/>
      <c r="K8" s="54"/>
      <c r="L8" s="54"/>
    </row>
    <row r="9" customFormat="false" ht="15" hidden="false" customHeight="false" outlineLevel="0" collapsed="false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customFormat="false" ht="25.5" hidden="false" customHeight="true" outlineLevel="0" collapsed="false">
      <c r="A10" s="55" t="s">
        <v>415</v>
      </c>
      <c r="B10" s="55"/>
      <c r="C10" s="55"/>
      <c r="D10" s="55"/>
      <c r="E10" s="55"/>
      <c r="F10" s="55"/>
      <c r="G10" s="46"/>
      <c r="H10" s="55" t="s">
        <v>416</v>
      </c>
      <c r="I10" s="55"/>
      <c r="J10" s="55"/>
      <c r="K10" s="55"/>
      <c r="L10" s="55"/>
    </row>
    <row r="11" customFormat="false" ht="15" hidden="false" customHeight="false" outlineLevel="0" collapsed="false">
      <c r="A11" s="16" t="s">
        <v>33</v>
      </c>
      <c r="B11" s="16" t="s">
        <v>417</v>
      </c>
      <c r="C11" s="16" t="s">
        <v>100</v>
      </c>
      <c r="D11" s="16" t="s">
        <v>418</v>
      </c>
      <c r="E11" s="16" t="s">
        <v>419</v>
      </c>
      <c r="F11" s="16" t="s">
        <v>420</v>
      </c>
      <c r="G11" s="46"/>
      <c r="H11" s="38" t="s">
        <v>285</v>
      </c>
      <c r="I11" s="38" t="s">
        <v>421</v>
      </c>
      <c r="J11" s="38" t="s">
        <v>422</v>
      </c>
      <c r="K11" s="38" t="s">
        <v>420</v>
      </c>
      <c r="L11" s="38" t="s">
        <v>38</v>
      </c>
    </row>
    <row r="12" customFormat="false" ht="15" hidden="false" customHeight="false" outlineLevel="0" collapsed="false">
      <c r="A12" s="56" t="s">
        <v>43</v>
      </c>
      <c r="B12" s="18" t="n">
        <v>7</v>
      </c>
      <c r="C12" s="18" t="n">
        <v>8</v>
      </c>
      <c r="D12" s="18" t="n">
        <v>5</v>
      </c>
      <c r="E12" s="18" t="n">
        <v>4</v>
      </c>
      <c r="F12" s="19" t="n">
        <v>165000000</v>
      </c>
      <c r="G12" s="46"/>
      <c r="H12" s="17" t="s">
        <v>423</v>
      </c>
      <c r="I12" s="17" t="n">
        <v>8</v>
      </c>
      <c r="J12" s="18" t="s">
        <v>424</v>
      </c>
      <c r="K12" s="19" t="n">
        <v>119875000</v>
      </c>
      <c r="L12" s="20" t="s">
        <v>425</v>
      </c>
    </row>
    <row r="13" customFormat="false" ht="15" hidden="false" customHeight="false" outlineLevel="0" collapsed="false">
      <c r="A13" s="57" t="s">
        <v>49</v>
      </c>
      <c r="B13" s="22" t="n">
        <v>2</v>
      </c>
      <c r="C13" s="22" t="n">
        <v>2</v>
      </c>
      <c r="D13" s="22" t="n">
        <v>2</v>
      </c>
      <c r="E13" s="22" t="n">
        <v>1</v>
      </c>
      <c r="F13" s="23" t="n">
        <v>82000000</v>
      </c>
      <c r="G13" s="46"/>
      <c r="H13" s="21" t="s">
        <v>57</v>
      </c>
      <c r="I13" s="21" t="n">
        <v>4</v>
      </c>
      <c r="J13" s="22" t="s">
        <v>426</v>
      </c>
      <c r="K13" s="23" t="n">
        <v>98250000</v>
      </c>
      <c r="L13" s="20" t="s">
        <v>427</v>
      </c>
    </row>
    <row r="14" customFormat="false" ht="15" hidden="false" customHeight="false" outlineLevel="0" collapsed="false">
      <c r="A14" s="56" t="s">
        <v>55</v>
      </c>
      <c r="B14" s="18" t="n">
        <v>3</v>
      </c>
      <c r="C14" s="18" t="n">
        <v>3</v>
      </c>
      <c r="D14" s="18" t="n">
        <v>2</v>
      </c>
      <c r="E14" s="18" t="n">
        <v>2</v>
      </c>
      <c r="F14" s="19" t="n">
        <v>63000000</v>
      </c>
      <c r="G14" s="46"/>
      <c r="H14" s="17" t="s">
        <v>51</v>
      </c>
      <c r="I14" s="17" t="n">
        <v>3</v>
      </c>
      <c r="J14" s="18" t="s">
        <v>428</v>
      </c>
      <c r="K14" s="19" t="n">
        <v>142000000</v>
      </c>
      <c r="L14" s="20" t="s">
        <v>67</v>
      </c>
    </row>
    <row r="15" customFormat="false" ht="15" hidden="false" customHeight="false" outlineLevel="0" collapsed="false">
      <c r="A15" s="57" t="s">
        <v>64</v>
      </c>
      <c r="B15" s="22" t="n">
        <v>1</v>
      </c>
      <c r="C15" s="22" t="n">
        <v>1</v>
      </c>
      <c r="D15" s="22" t="n">
        <v>1</v>
      </c>
      <c r="E15" s="22" t="n">
        <v>1</v>
      </c>
      <c r="F15" s="23" t="n">
        <v>138000000</v>
      </c>
      <c r="G15" s="46"/>
      <c r="H15" s="46"/>
      <c r="I15" s="46"/>
      <c r="J15" s="46"/>
      <c r="K15" s="46"/>
      <c r="L15" s="46"/>
    </row>
    <row r="16" customFormat="false" ht="15" hidden="false" customHeight="false" outlineLevel="0" collapsed="false">
      <c r="A16" s="56" t="s">
        <v>68</v>
      </c>
      <c r="B16" s="18" t="n">
        <v>1</v>
      </c>
      <c r="C16" s="18" t="n">
        <v>1</v>
      </c>
      <c r="D16" s="18" t="n">
        <v>1</v>
      </c>
      <c r="E16" s="18" t="n">
        <v>0</v>
      </c>
      <c r="F16" s="19" t="n">
        <v>118000000</v>
      </c>
      <c r="G16" s="46"/>
      <c r="H16" s="46"/>
      <c r="I16" s="46"/>
      <c r="J16" s="46"/>
      <c r="K16" s="46"/>
      <c r="L16" s="46"/>
    </row>
    <row r="17" customFormat="false" ht="15" hidden="false" customHeight="false" outlineLevel="0" collapsed="false">
      <c r="A17" s="57" t="s">
        <v>74</v>
      </c>
      <c r="B17" s="22" t="n">
        <v>1</v>
      </c>
      <c r="C17" s="22" t="n">
        <v>1</v>
      </c>
      <c r="D17" s="22" t="n">
        <v>1</v>
      </c>
      <c r="E17" s="22" t="n">
        <v>0</v>
      </c>
      <c r="F17" s="23" t="n">
        <v>108000000</v>
      </c>
      <c r="G17" s="46"/>
      <c r="H17" s="46"/>
      <c r="I17" s="46"/>
      <c r="J17" s="46"/>
      <c r="K17" s="46"/>
      <c r="L17" s="46"/>
    </row>
    <row r="18" customFormat="false" ht="15" hidden="false" customHeight="false" outlineLevel="0" collapsed="false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customFormat="false" ht="15" hidden="false" customHeight="false" outlineLevel="0" collapsed="false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customFormat="false" ht="15" hidden="false" customHeight="false" outlineLevel="0" collapsed="false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customFormat="false" ht="15" hidden="false" customHeight="false" outlineLevel="0" collapsed="false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customFormat="false" ht="15" hidden="false" customHeight="false" outlineLevel="0" collapsed="false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customFormat="false" ht="15" hidden="false" customHeight="false" outlineLevel="0" collapsed="false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customFormat="false" ht="15" hidden="false" customHeight="false" outlineLevel="0" collapsed="false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customFormat="false" ht="15" hidden="false" customHeight="false" outlineLevel="0" collapsed="false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</row>
    <row r="26" customFormat="false" ht="15" hidden="false" customHeight="false" outlineLevel="0" collapsed="false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</row>
    <row r="27" customFormat="false" ht="15" hidden="false" customHeight="false" outlineLevel="0" collapsed="false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</row>
    <row r="28" customFormat="false" ht="15" hidden="false" customHeight="false" outlineLevel="0" collapsed="false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</row>
    <row r="29" customFormat="false" ht="15" hidden="false" customHeight="false" outlineLevel="0" collapsed="false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customFormat="false" ht="15" hidden="false" customHeight="false" outlineLevel="0" collapsed="false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customFormat="false" ht="15" hidden="false" customHeight="false" outlineLevel="0" collapsed="false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customFormat="false" ht="15" hidden="false" customHeight="false" outlineLevel="0" collapsed="false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customFormat="false" ht="15" hidden="false" customHeight="false" outlineLevel="0" collapsed="false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customFormat="false" ht="15" hidden="false" customHeight="false" outlineLevel="0" collapsed="false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customFormat="false" ht="15" hidden="false" customHeight="false" outlineLevel="0" collapsed="false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</row>
    <row r="36" customFormat="false" ht="15" hidden="false" customHeight="false" outlineLevel="0" collapsed="false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</row>
    <row r="37" customFormat="false" ht="15" hidden="false" customHeight="false" outlineLevel="0" collapsed="false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</row>
    <row r="38" customFormat="false" ht="15" hidden="false" customHeight="false" outlineLevel="0" collapsed="false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</row>
    <row r="39" customFormat="false" ht="15" hidden="false" customHeight="false" outlineLevel="0" collapsed="false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</row>
    <row r="40" customFormat="false" ht="15" hidden="false" customHeight="false" outlineLevel="0" collapsed="false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</row>
    <row r="41" customFormat="false" ht="15" hidden="false" customHeight="false" outlineLevel="0" collapsed="false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customFormat="false" ht="15" hidden="false" customHeight="false" outlineLevel="0" collapsed="false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</row>
    <row r="43" customFormat="false" ht="15" hidden="false" customHeight="false" outlineLevel="0" collapsed="false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</row>
    <row r="44" customFormat="false" ht="15" hidden="false" customHeight="false" outlineLevel="0" collapsed="false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</row>
    <row r="45" customFormat="false" ht="15" hidden="false" customHeight="false" outlineLevel="0" collapsed="false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</row>
    <row r="46" customFormat="false" ht="15" hidden="false" customHeight="false" outlineLevel="0" collapsed="false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customFormat="false" ht="15" hidden="false" customHeight="false" outlineLevel="0" collapsed="false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customFormat="false" ht="15" hidden="false" customHeight="false" outlineLevel="0" collapsed="false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customFormat="false" ht="15" hidden="false" customHeight="false" outlineLevel="0" collapsed="false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customFormat="false" ht="15" hidden="false" customHeight="false" outlineLevel="0" collapsed="false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</row>
    <row r="51" customFormat="false" ht="15" hidden="false" customHeight="false" outlineLevel="0" collapsed="false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</row>
    <row r="52" customFormat="false" ht="15" hidden="false" customHeight="false" outlineLevel="0" collapsed="false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</row>
    <row r="53" customFormat="false" ht="15" hidden="false" customHeight="false" outlineLevel="0" collapsed="false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</row>
    <row r="54" customFormat="false" ht="15" hidden="false" customHeight="false" outlineLevel="0" collapsed="false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</row>
    <row r="55" customFormat="false" ht="15" hidden="false" customHeight="false" outlineLevel="0" collapsed="false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</row>
    <row r="56" customFormat="false" ht="15" hidden="false" customHeight="false" outlineLevel="0" collapsed="false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</row>
    <row r="57" customFormat="false" ht="15" hidden="false" customHeight="false" outlineLevel="0" collapsed="false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</row>
    <row r="58" customFormat="false" ht="15" hidden="false" customHeight="false" outlineLevel="0" collapsed="false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</row>
    <row r="59" customFormat="false" ht="15" hidden="false" customHeight="false" outlineLevel="0" collapsed="false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</row>
    <row r="60" customFormat="false" ht="15" hidden="false" customHeight="false" outlineLevel="0" collapsed="false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</row>
  </sheetData>
  <mergeCells count="22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8"/>
    <mergeCell ref="C6:D8"/>
    <mergeCell ref="E6:F8"/>
    <mergeCell ref="G6:H8"/>
    <mergeCell ref="I6:J8"/>
    <mergeCell ref="K6:L8"/>
    <mergeCell ref="A10:F10"/>
    <mergeCell ref="H10:L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2026-02-26T15:09:26Z</dcterms:created>
  <dc:creator>openpyxl</dc:creator>
  <dc:description/>
  <dc:language>en-US</dc:language>
  <cp:lastModifiedBy/>
  <dcterms:modified xsi:type="dcterms:W3CDTF">2026-02-26T15:09:26Z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